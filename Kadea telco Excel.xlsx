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FC26AC14-61E1-4684-869E-B0EBDA1991D2}" xr6:coauthVersionLast="47" xr6:coauthVersionMax="47" xr10:uidLastSave="{00000000-0000-0000-0000-000000000000}"/>
  <bookViews>
    <workbookView xWindow="-108" yWindow="-108" windowWidth="23256" windowHeight="12456" activeTab="3" xr2:uid="{0BB90D10-0CB7-477E-8793-D48C01581C2A}"/>
  </bookViews>
  <sheets>
    <sheet name="Churn_part" sheetId="2" r:id="rId1"/>
    <sheet name="TCD" sheetId="7" r:id="rId2"/>
    <sheet name="logs_ reseaux" sheetId="3" r:id="rId3"/>
    <sheet name="Registre maintenance" sheetId="4" r:id="rId4"/>
  </sheets>
  <definedNames>
    <definedName name="_xlcn.WorksheetConnection_KadeatelcoExcel.xlsxlogs__reseaux1" hidden="1">logs_reseaux[]</definedName>
    <definedName name="DonnéesExternes_1" localSheetId="0" hidden="1">'Churn_part'!$A$1:$H$749</definedName>
    <definedName name="DonnéesExternes_1" localSheetId="2" hidden="1">'logs_ reseaux'!$A$1:$F$1085</definedName>
    <definedName name="DonnéesExternes_1" localSheetId="3" hidden="1">'Registre maintenance'!$A$1:$G$401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gs__reseaux" name="logs__reseaux" connection="WorksheetConnection_Kadea telco Excel.xlsx!logs__reseaux"/>
        </x15:modelTables>
      </x15:dataModel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I166" i="2"/>
  <c r="I195" i="2"/>
  <c r="I451" i="2"/>
  <c r="I597" i="2"/>
  <c r="I689" i="2"/>
  <c r="I690" i="2"/>
  <c r="I712" i="2"/>
  <c r="I713" i="2"/>
  <c r="I730" i="2"/>
  <c r="I736" i="2"/>
  <c r="E2" i="2"/>
  <c r="I2" i="2" s="1"/>
  <c r="E3" i="2"/>
  <c r="I3" i="2" s="1"/>
  <c r="E4" i="2"/>
  <c r="I4" i="2" s="1"/>
  <c r="E5" i="2"/>
  <c r="I5" i="2" s="1"/>
  <c r="E6" i="2"/>
  <c r="I6" i="2" s="1"/>
  <c r="E7" i="2"/>
  <c r="I7" i="2" s="1"/>
  <c r="E8" i="2"/>
  <c r="I8" i="2" s="1"/>
  <c r="E9" i="2"/>
  <c r="I9" i="2" s="1"/>
  <c r="E10" i="2"/>
  <c r="I10" i="2" s="1"/>
  <c r="E11" i="2"/>
  <c r="I11" i="2" s="1"/>
  <c r="E12" i="2"/>
  <c r="I12" i="2" s="1"/>
  <c r="E13" i="2"/>
  <c r="I13" i="2" s="1"/>
  <c r="E14" i="2"/>
  <c r="I14" i="2" s="1"/>
  <c r="E15" i="2"/>
  <c r="I15" i="2" s="1"/>
  <c r="E16" i="2"/>
  <c r="I16" i="2" s="1"/>
  <c r="E17" i="2"/>
  <c r="I17" i="2" s="1"/>
  <c r="E18" i="2"/>
  <c r="I18" i="2" s="1"/>
  <c r="E19" i="2"/>
  <c r="I19" i="2" s="1"/>
  <c r="E20" i="2"/>
  <c r="I20" i="2" s="1"/>
  <c r="E21" i="2"/>
  <c r="I21" i="2" s="1"/>
  <c r="E22" i="2"/>
  <c r="I22" i="2" s="1"/>
  <c r="E23" i="2"/>
  <c r="I23" i="2" s="1"/>
  <c r="E24" i="2"/>
  <c r="I24" i="2" s="1"/>
  <c r="E25" i="2"/>
  <c r="I25" i="2" s="1"/>
  <c r="E26" i="2"/>
  <c r="I26" i="2" s="1"/>
  <c r="E27" i="2"/>
  <c r="I27" i="2" s="1"/>
  <c r="E28" i="2"/>
  <c r="I28" i="2" s="1"/>
  <c r="E29" i="2"/>
  <c r="I29" i="2" s="1"/>
  <c r="E30" i="2"/>
  <c r="I30" i="2" s="1"/>
  <c r="E31" i="2"/>
  <c r="I31" i="2" s="1"/>
  <c r="E32" i="2"/>
  <c r="I32" i="2" s="1"/>
  <c r="E33" i="2"/>
  <c r="I33" i="2" s="1"/>
  <c r="E34" i="2"/>
  <c r="I34" i="2" s="1"/>
  <c r="E35" i="2"/>
  <c r="I35" i="2" s="1"/>
  <c r="E36" i="2"/>
  <c r="I36" i="2" s="1"/>
  <c r="E37" i="2"/>
  <c r="I37" i="2" s="1"/>
  <c r="E38" i="2"/>
  <c r="I38" i="2" s="1"/>
  <c r="E39" i="2"/>
  <c r="I39" i="2" s="1"/>
  <c r="E40" i="2"/>
  <c r="I40" i="2" s="1"/>
  <c r="E41" i="2"/>
  <c r="I41" i="2" s="1"/>
  <c r="E42" i="2"/>
  <c r="I42" i="2" s="1"/>
  <c r="E43" i="2"/>
  <c r="I43" i="2" s="1"/>
  <c r="E44" i="2"/>
  <c r="I44" i="2" s="1"/>
  <c r="E45" i="2"/>
  <c r="I45" i="2" s="1"/>
  <c r="E46" i="2"/>
  <c r="I46" i="2" s="1"/>
  <c r="E47" i="2"/>
  <c r="I47" i="2" s="1"/>
  <c r="E48" i="2"/>
  <c r="I48" i="2" s="1"/>
  <c r="E49" i="2"/>
  <c r="I49" i="2" s="1"/>
  <c r="E50" i="2"/>
  <c r="I50" i="2" s="1"/>
  <c r="E51" i="2"/>
  <c r="I51" i="2" s="1"/>
  <c r="E52" i="2"/>
  <c r="I52" i="2" s="1"/>
  <c r="E53" i="2"/>
  <c r="I53" i="2" s="1"/>
  <c r="E54" i="2"/>
  <c r="I54" i="2" s="1"/>
  <c r="E55" i="2"/>
  <c r="I55" i="2" s="1"/>
  <c r="E56" i="2"/>
  <c r="I56" i="2" s="1"/>
  <c r="E57" i="2"/>
  <c r="I57" i="2" s="1"/>
  <c r="E58" i="2"/>
  <c r="I58" i="2" s="1"/>
  <c r="E59" i="2"/>
  <c r="I59" i="2" s="1"/>
  <c r="E60" i="2"/>
  <c r="I60" i="2" s="1"/>
  <c r="E61" i="2"/>
  <c r="I61" i="2" s="1"/>
  <c r="E62" i="2"/>
  <c r="I62" i="2" s="1"/>
  <c r="E63" i="2"/>
  <c r="I63" i="2" s="1"/>
  <c r="E64" i="2"/>
  <c r="I64" i="2" s="1"/>
  <c r="E65" i="2"/>
  <c r="I65" i="2" s="1"/>
  <c r="E66" i="2"/>
  <c r="I66" i="2" s="1"/>
  <c r="E67" i="2"/>
  <c r="I67" i="2" s="1"/>
  <c r="E68" i="2"/>
  <c r="I68" i="2" s="1"/>
  <c r="E69" i="2"/>
  <c r="I69" i="2" s="1"/>
  <c r="E70" i="2"/>
  <c r="I70" i="2" s="1"/>
  <c r="E71" i="2"/>
  <c r="I71" i="2" s="1"/>
  <c r="E72" i="2"/>
  <c r="I72" i="2" s="1"/>
  <c r="E73" i="2"/>
  <c r="I73" i="2" s="1"/>
  <c r="E74" i="2"/>
  <c r="I74" i="2" s="1"/>
  <c r="E75" i="2"/>
  <c r="I75" i="2" s="1"/>
  <c r="E76" i="2"/>
  <c r="I76" i="2" s="1"/>
  <c r="E77" i="2"/>
  <c r="I77" i="2" s="1"/>
  <c r="E78" i="2"/>
  <c r="I78" i="2" s="1"/>
  <c r="E79" i="2"/>
  <c r="I79" i="2" s="1"/>
  <c r="E80" i="2"/>
  <c r="I80" i="2" s="1"/>
  <c r="E81" i="2"/>
  <c r="I81" i="2" s="1"/>
  <c r="E82" i="2"/>
  <c r="I82" i="2" s="1"/>
  <c r="E83" i="2"/>
  <c r="I83" i="2" s="1"/>
  <c r="E84" i="2"/>
  <c r="I84" i="2" s="1"/>
  <c r="E85" i="2"/>
  <c r="I85" i="2" s="1"/>
  <c r="E86" i="2"/>
  <c r="I86" i="2" s="1"/>
  <c r="E87" i="2"/>
  <c r="I87" i="2" s="1"/>
  <c r="E88" i="2"/>
  <c r="I88" i="2" s="1"/>
  <c r="E89" i="2"/>
  <c r="I89" i="2" s="1"/>
  <c r="E90" i="2"/>
  <c r="I90" i="2" s="1"/>
  <c r="E91" i="2"/>
  <c r="I91" i="2" s="1"/>
  <c r="E92" i="2"/>
  <c r="I92" i="2" s="1"/>
  <c r="E93" i="2"/>
  <c r="I93" i="2" s="1"/>
  <c r="E94" i="2"/>
  <c r="I94" i="2" s="1"/>
  <c r="E95" i="2"/>
  <c r="I95" i="2" s="1"/>
  <c r="E96" i="2"/>
  <c r="I96" i="2" s="1"/>
  <c r="E97" i="2"/>
  <c r="I97" i="2" s="1"/>
  <c r="E98" i="2"/>
  <c r="I98" i="2" s="1"/>
  <c r="E99" i="2"/>
  <c r="I99" i="2" s="1"/>
  <c r="E100" i="2"/>
  <c r="I100" i="2" s="1"/>
  <c r="E101" i="2"/>
  <c r="I101" i="2" s="1"/>
  <c r="E102" i="2"/>
  <c r="I102" i="2" s="1"/>
  <c r="E103" i="2"/>
  <c r="I103" i="2" s="1"/>
  <c r="E104" i="2"/>
  <c r="I104" i="2" s="1"/>
  <c r="E105" i="2"/>
  <c r="I105" i="2" s="1"/>
  <c r="E106" i="2"/>
  <c r="I106" i="2" s="1"/>
  <c r="E107" i="2"/>
  <c r="I107" i="2" s="1"/>
  <c r="E108" i="2"/>
  <c r="I108" i="2" s="1"/>
  <c r="E109" i="2"/>
  <c r="I109" i="2" s="1"/>
  <c r="E110" i="2"/>
  <c r="I110" i="2" s="1"/>
  <c r="E111" i="2"/>
  <c r="I111" i="2" s="1"/>
  <c r="E112" i="2"/>
  <c r="I112" i="2" s="1"/>
  <c r="E113" i="2"/>
  <c r="I113" i="2" s="1"/>
  <c r="E114" i="2"/>
  <c r="I114" i="2" s="1"/>
  <c r="E115" i="2"/>
  <c r="I115" i="2" s="1"/>
  <c r="E116" i="2"/>
  <c r="I116" i="2" s="1"/>
  <c r="E117" i="2"/>
  <c r="I117" i="2" s="1"/>
  <c r="E118" i="2"/>
  <c r="I118" i="2" s="1"/>
  <c r="E119" i="2"/>
  <c r="I119" i="2" s="1"/>
  <c r="E120" i="2"/>
  <c r="I120" i="2" s="1"/>
  <c r="E121" i="2"/>
  <c r="I121" i="2" s="1"/>
  <c r="E122" i="2"/>
  <c r="I122" i="2" s="1"/>
  <c r="E123" i="2"/>
  <c r="I123" i="2" s="1"/>
  <c r="E124" i="2"/>
  <c r="I124" i="2" s="1"/>
  <c r="E125" i="2"/>
  <c r="I125" i="2" s="1"/>
  <c r="E126" i="2"/>
  <c r="I126" i="2" s="1"/>
  <c r="E127" i="2"/>
  <c r="I127" i="2" s="1"/>
  <c r="E128" i="2"/>
  <c r="I128" i="2" s="1"/>
  <c r="E129" i="2"/>
  <c r="I129" i="2" s="1"/>
  <c r="E130" i="2"/>
  <c r="I130" i="2" s="1"/>
  <c r="E131" i="2"/>
  <c r="I131" i="2" s="1"/>
  <c r="E132" i="2"/>
  <c r="I132" i="2" s="1"/>
  <c r="E133" i="2"/>
  <c r="I133" i="2" s="1"/>
  <c r="E134" i="2"/>
  <c r="I134" i="2" s="1"/>
  <c r="E135" i="2"/>
  <c r="I135" i="2" s="1"/>
  <c r="E136" i="2"/>
  <c r="I136" i="2" s="1"/>
  <c r="E137" i="2"/>
  <c r="I137" i="2" s="1"/>
  <c r="E138" i="2"/>
  <c r="I138" i="2" s="1"/>
  <c r="E139" i="2"/>
  <c r="I139" i="2" s="1"/>
  <c r="E140" i="2"/>
  <c r="I140" i="2" s="1"/>
  <c r="E141" i="2"/>
  <c r="I141" i="2" s="1"/>
  <c r="E142" i="2"/>
  <c r="I142" i="2" s="1"/>
  <c r="E143" i="2"/>
  <c r="I143" i="2" s="1"/>
  <c r="E144" i="2"/>
  <c r="I144" i="2" s="1"/>
  <c r="E145" i="2"/>
  <c r="I145" i="2" s="1"/>
  <c r="E146" i="2"/>
  <c r="I146" i="2" s="1"/>
  <c r="E147" i="2"/>
  <c r="I147" i="2" s="1"/>
  <c r="E148" i="2"/>
  <c r="I148" i="2" s="1"/>
  <c r="E149" i="2"/>
  <c r="I149" i="2" s="1"/>
  <c r="E150" i="2"/>
  <c r="I150" i="2" s="1"/>
  <c r="E151" i="2"/>
  <c r="I151" i="2" s="1"/>
  <c r="E152" i="2"/>
  <c r="I152" i="2" s="1"/>
  <c r="E153" i="2"/>
  <c r="I153" i="2" s="1"/>
  <c r="E154" i="2"/>
  <c r="I154" i="2" s="1"/>
  <c r="E155" i="2"/>
  <c r="I155" i="2" s="1"/>
  <c r="E156" i="2"/>
  <c r="I156" i="2" s="1"/>
  <c r="E157" i="2"/>
  <c r="I157" i="2" s="1"/>
  <c r="E158" i="2"/>
  <c r="I158" i="2" s="1"/>
  <c r="E159" i="2"/>
  <c r="I159" i="2" s="1"/>
  <c r="E160" i="2"/>
  <c r="I160" i="2" s="1"/>
  <c r="E161" i="2"/>
  <c r="I161" i="2" s="1"/>
  <c r="E162" i="2"/>
  <c r="I162" i="2" s="1"/>
  <c r="E163" i="2"/>
  <c r="I163" i="2" s="1"/>
  <c r="E164" i="2"/>
  <c r="I164" i="2" s="1"/>
  <c r="E165" i="2"/>
  <c r="I165" i="2" s="1"/>
  <c r="E166" i="2"/>
  <c r="E167" i="2"/>
  <c r="I167" i="2" s="1"/>
  <c r="E168" i="2"/>
  <c r="I168" i="2" s="1"/>
  <c r="E169" i="2"/>
  <c r="I169" i="2" s="1"/>
  <c r="E170" i="2"/>
  <c r="I170" i="2" s="1"/>
  <c r="E171" i="2"/>
  <c r="I171" i="2" s="1"/>
  <c r="E172" i="2"/>
  <c r="I172" i="2" s="1"/>
  <c r="E173" i="2"/>
  <c r="I173" i="2" s="1"/>
  <c r="E174" i="2"/>
  <c r="I174" i="2" s="1"/>
  <c r="E175" i="2"/>
  <c r="I175" i="2" s="1"/>
  <c r="E176" i="2"/>
  <c r="I176" i="2" s="1"/>
  <c r="E177" i="2"/>
  <c r="I177" i="2" s="1"/>
  <c r="E178" i="2"/>
  <c r="I178" i="2" s="1"/>
  <c r="E179" i="2"/>
  <c r="I179" i="2" s="1"/>
  <c r="E180" i="2"/>
  <c r="I180" i="2" s="1"/>
  <c r="E181" i="2"/>
  <c r="I181" i="2" s="1"/>
  <c r="E182" i="2"/>
  <c r="I182" i="2" s="1"/>
  <c r="E183" i="2"/>
  <c r="I183" i="2" s="1"/>
  <c r="E184" i="2"/>
  <c r="I184" i="2" s="1"/>
  <c r="E185" i="2"/>
  <c r="I185" i="2" s="1"/>
  <c r="E186" i="2"/>
  <c r="I186" i="2" s="1"/>
  <c r="E187" i="2"/>
  <c r="I187" i="2" s="1"/>
  <c r="E188" i="2"/>
  <c r="I188" i="2" s="1"/>
  <c r="E189" i="2"/>
  <c r="I189" i="2" s="1"/>
  <c r="E190" i="2"/>
  <c r="I190" i="2" s="1"/>
  <c r="E191" i="2"/>
  <c r="I191" i="2" s="1"/>
  <c r="E192" i="2"/>
  <c r="I192" i="2" s="1"/>
  <c r="E193" i="2"/>
  <c r="I193" i="2" s="1"/>
  <c r="E194" i="2"/>
  <c r="I194" i="2" s="1"/>
  <c r="E195" i="2"/>
  <c r="E196" i="2"/>
  <c r="I196" i="2" s="1"/>
  <c r="E197" i="2"/>
  <c r="I197" i="2" s="1"/>
  <c r="E198" i="2"/>
  <c r="I198" i="2" s="1"/>
  <c r="E199" i="2"/>
  <c r="I199" i="2" s="1"/>
  <c r="E200" i="2"/>
  <c r="I200" i="2" s="1"/>
  <c r="E201" i="2"/>
  <c r="I201" i="2" s="1"/>
  <c r="E202" i="2"/>
  <c r="I202" i="2" s="1"/>
  <c r="E203" i="2"/>
  <c r="I203" i="2" s="1"/>
  <c r="E204" i="2"/>
  <c r="I204" i="2" s="1"/>
  <c r="E205" i="2"/>
  <c r="I205" i="2" s="1"/>
  <c r="E206" i="2"/>
  <c r="I206" i="2" s="1"/>
  <c r="E207" i="2"/>
  <c r="I207" i="2" s="1"/>
  <c r="E208" i="2"/>
  <c r="I208" i="2" s="1"/>
  <c r="E209" i="2"/>
  <c r="I209" i="2" s="1"/>
  <c r="E210" i="2"/>
  <c r="I210" i="2" s="1"/>
  <c r="E211" i="2"/>
  <c r="I211" i="2" s="1"/>
  <c r="E212" i="2"/>
  <c r="I212" i="2" s="1"/>
  <c r="E213" i="2"/>
  <c r="I213" i="2" s="1"/>
  <c r="E214" i="2"/>
  <c r="I214" i="2" s="1"/>
  <c r="E215" i="2"/>
  <c r="I215" i="2" s="1"/>
  <c r="E216" i="2"/>
  <c r="I216" i="2" s="1"/>
  <c r="E217" i="2"/>
  <c r="I217" i="2" s="1"/>
  <c r="E218" i="2"/>
  <c r="I218" i="2" s="1"/>
  <c r="E219" i="2"/>
  <c r="I219" i="2" s="1"/>
  <c r="E220" i="2"/>
  <c r="I220" i="2" s="1"/>
  <c r="E221" i="2"/>
  <c r="I221" i="2" s="1"/>
  <c r="E222" i="2"/>
  <c r="I222" i="2" s="1"/>
  <c r="E223" i="2"/>
  <c r="I223" i="2" s="1"/>
  <c r="E224" i="2"/>
  <c r="I224" i="2" s="1"/>
  <c r="E225" i="2"/>
  <c r="I225" i="2" s="1"/>
  <c r="E226" i="2"/>
  <c r="I226" i="2" s="1"/>
  <c r="E227" i="2"/>
  <c r="I227" i="2" s="1"/>
  <c r="E228" i="2"/>
  <c r="I228" i="2" s="1"/>
  <c r="E229" i="2"/>
  <c r="I229" i="2" s="1"/>
  <c r="E230" i="2"/>
  <c r="I230" i="2" s="1"/>
  <c r="E231" i="2"/>
  <c r="I231" i="2" s="1"/>
  <c r="E232" i="2"/>
  <c r="I232" i="2" s="1"/>
  <c r="E233" i="2"/>
  <c r="I233" i="2" s="1"/>
  <c r="E234" i="2"/>
  <c r="I234" i="2" s="1"/>
  <c r="E235" i="2"/>
  <c r="I235" i="2" s="1"/>
  <c r="E236" i="2"/>
  <c r="I236" i="2" s="1"/>
  <c r="E237" i="2"/>
  <c r="I237" i="2" s="1"/>
  <c r="E238" i="2"/>
  <c r="I238" i="2" s="1"/>
  <c r="E239" i="2"/>
  <c r="I239" i="2" s="1"/>
  <c r="E240" i="2"/>
  <c r="I240" i="2" s="1"/>
  <c r="E241" i="2"/>
  <c r="I241" i="2" s="1"/>
  <c r="E242" i="2"/>
  <c r="I242" i="2" s="1"/>
  <c r="E243" i="2"/>
  <c r="I243" i="2" s="1"/>
  <c r="E244" i="2"/>
  <c r="I244" i="2" s="1"/>
  <c r="E245" i="2"/>
  <c r="I245" i="2" s="1"/>
  <c r="E246" i="2"/>
  <c r="I246" i="2" s="1"/>
  <c r="E247" i="2"/>
  <c r="I247" i="2" s="1"/>
  <c r="E248" i="2"/>
  <c r="I248" i="2" s="1"/>
  <c r="E249" i="2"/>
  <c r="I249" i="2" s="1"/>
  <c r="E250" i="2"/>
  <c r="I250" i="2" s="1"/>
  <c r="E251" i="2"/>
  <c r="I251" i="2" s="1"/>
  <c r="E252" i="2"/>
  <c r="I252" i="2" s="1"/>
  <c r="E253" i="2"/>
  <c r="I253" i="2" s="1"/>
  <c r="E254" i="2"/>
  <c r="I254" i="2" s="1"/>
  <c r="E255" i="2"/>
  <c r="I255" i="2" s="1"/>
  <c r="E256" i="2"/>
  <c r="I256" i="2" s="1"/>
  <c r="E257" i="2"/>
  <c r="I257" i="2" s="1"/>
  <c r="E258" i="2"/>
  <c r="I258" i="2" s="1"/>
  <c r="E259" i="2"/>
  <c r="I259" i="2" s="1"/>
  <c r="E260" i="2"/>
  <c r="I260" i="2" s="1"/>
  <c r="E261" i="2"/>
  <c r="I261" i="2" s="1"/>
  <c r="E262" i="2"/>
  <c r="I262" i="2" s="1"/>
  <c r="E263" i="2"/>
  <c r="I263" i="2" s="1"/>
  <c r="E264" i="2"/>
  <c r="I264" i="2" s="1"/>
  <c r="E265" i="2"/>
  <c r="I265" i="2" s="1"/>
  <c r="E266" i="2"/>
  <c r="I266" i="2" s="1"/>
  <c r="E267" i="2"/>
  <c r="I267" i="2" s="1"/>
  <c r="E268" i="2"/>
  <c r="I268" i="2" s="1"/>
  <c r="E269" i="2"/>
  <c r="I269" i="2" s="1"/>
  <c r="E270" i="2"/>
  <c r="I270" i="2" s="1"/>
  <c r="E271" i="2"/>
  <c r="I271" i="2" s="1"/>
  <c r="E272" i="2"/>
  <c r="I272" i="2" s="1"/>
  <c r="E273" i="2"/>
  <c r="I273" i="2" s="1"/>
  <c r="E274" i="2"/>
  <c r="I274" i="2" s="1"/>
  <c r="E275" i="2"/>
  <c r="I275" i="2" s="1"/>
  <c r="E276" i="2"/>
  <c r="I276" i="2" s="1"/>
  <c r="E277" i="2"/>
  <c r="I277" i="2" s="1"/>
  <c r="E278" i="2"/>
  <c r="I278" i="2" s="1"/>
  <c r="E279" i="2"/>
  <c r="I279" i="2" s="1"/>
  <c r="E280" i="2"/>
  <c r="I280" i="2" s="1"/>
  <c r="E281" i="2"/>
  <c r="I281" i="2" s="1"/>
  <c r="E282" i="2"/>
  <c r="I282" i="2" s="1"/>
  <c r="E283" i="2"/>
  <c r="I283" i="2" s="1"/>
  <c r="E284" i="2"/>
  <c r="I284" i="2" s="1"/>
  <c r="E285" i="2"/>
  <c r="I285" i="2" s="1"/>
  <c r="E286" i="2"/>
  <c r="I286" i="2" s="1"/>
  <c r="E287" i="2"/>
  <c r="I287" i="2" s="1"/>
  <c r="E288" i="2"/>
  <c r="I288" i="2" s="1"/>
  <c r="E289" i="2"/>
  <c r="I289" i="2" s="1"/>
  <c r="E290" i="2"/>
  <c r="I290" i="2" s="1"/>
  <c r="E291" i="2"/>
  <c r="I291" i="2" s="1"/>
  <c r="E292" i="2"/>
  <c r="I292" i="2" s="1"/>
  <c r="E293" i="2"/>
  <c r="I293" i="2" s="1"/>
  <c r="E294" i="2"/>
  <c r="I294" i="2" s="1"/>
  <c r="E295" i="2"/>
  <c r="I295" i="2" s="1"/>
  <c r="E296" i="2"/>
  <c r="I296" i="2" s="1"/>
  <c r="E297" i="2"/>
  <c r="I297" i="2" s="1"/>
  <c r="E298" i="2"/>
  <c r="I298" i="2" s="1"/>
  <c r="E299" i="2"/>
  <c r="I299" i="2" s="1"/>
  <c r="E300" i="2"/>
  <c r="I300" i="2" s="1"/>
  <c r="E301" i="2"/>
  <c r="I301" i="2" s="1"/>
  <c r="E302" i="2"/>
  <c r="I302" i="2" s="1"/>
  <c r="E303" i="2"/>
  <c r="I303" i="2" s="1"/>
  <c r="E304" i="2"/>
  <c r="I304" i="2" s="1"/>
  <c r="E305" i="2"/>
  <c r="I305" i="2" s="1"/>
  <c r="E306" i="2"/>
  <c r="I306" i="2" s="1"/>
  <c r="E307" i="2"/>
  <c r="I307" i="2" s="1"/>
  <c r="E308" i="2"/>
  <c r="I308" i="2" s="1"/>
  <c r="E309" i="2"/>
  <c r="I309" i="2" s="1"/>
  <c r="E310" i="2"/>
  <c r="I310" i="2" s="1"/>
  <c r="E311" i="2"/>
  <c r="I311" i="2" s="1"/>
  <c r="E312" i="2"/>
  <c r="I312" i="2" s="1"/>
  <c r="E313" i="2"/>
  <c r="I313" i="2" s="1"/>
  <c r="E314" i="2"/>
  <c r="I314" i="2" s="1"/>
  <c r="E315" i="2"/>
  <c r="I315" i="2" s="1"/>
  <c r="E316" i="2"/>
  <c r="I316" i="2" s="1"/>
  <c r="E317" i="2"/>
  <c r="I317" i="2" s="1"/>
  <c r="E318" i="2"/>
  <c r="I318" i="2" s="1"/>
  <c r="E319" i="2"/>
  <c r="I319" i="2" s="1"/>
  <c r="E320" i="2"/>
  <c r="I320" i="2" s="1"/>
  <c r="E321" i="2"/>
  <c r="I321" i="2" s="1"/>
  <c r="E322" i="2"/>
  <c r="I322" i="2" s="1"/>
  <c r="E323" i="2"/>
  <c r="I323" i="2" s="1"/>
  <c r="E324" i="2"/>
  <c r="I324" i="2" s="1"/>
  <c r="E325" i="2"/>
  <c r="I325" i="2" s="1"/>
  <c r="E326" i="2"/>
  <c r="I326" i="2" s="1"/>
  <c r="E327" i="2"/>
  <c r="I327" i="2" s="1"/>
  <c r="E328" i="2"/>
  <c r="I328" i="2" s="1"/>
  <c r="E329" i="2"/>
  <c r="I329" i="2" s="1"/>
  <c r="E330" i="2"/>
  <c r="I330" i="2" s="1"/>
  <c r="E331" i="2"/>
  <c r="I331" i="2" s="1"/>
  <c r="E332" i="2"/>
  <c r="I332" i="2" s="1"/>
  <c r="E333" i="2"/>
  <c r="I333" i="2" s="1"/>
  <c r="E334" i="2"/>
  <c r="I334" i="2" s="1"/>
  <c r="E335" i="2"/>
  <c r="I335" i="2" s="1"/>
  <c r="E336" i="2"/>
  <c r="I336" i="2" s="1"/>
  <c r="E337" i="2"/>
  <c r="I337" i="2" s="1"/>
  <c r="E338" i="2"/>
  <c r="I338" i="2" s="1"/>
  <c r="E339" i="2"/>
  <c r="I339" i="2" s="1"/>
  <c r="E340" i="2"/>
  <c r="I340" i="2" s="1"/>
  <c r="E341" i="2"/>
  <c r="I341" i="2" s="1"/>
  <c r="E342" i="2"/>
  <c r="I342" i="2" s="1"/>
  <c r="E343" i="2"/>
  <c r="I343" i="2" s="1"/>
  <c r="E344" i="2"/>
  <c r="I344" i="2" s="1"/>
  <c r="E345" i="2"/>
  <c r="I345" i="2" s="1"/>
  <c r="E346" i="2"/>
  <c r="I346" i="2" s="1"/>
  <c r="E347" i="2"/>
  <c r="I347" i="2" s="1"/>
  <c r="E348" i="2"/>
  <c r="I348" i="2" s="1"/>
  <c r="E349" i="2"/>
  <c r="I349" i="2" s="1"/>
  <c r="E350" i="2"/>
  <c r="I350" i="2" s="1"/>
  <c r="E351" i="2"/>
  <c r="I351" i="2" s="1"/>
  <c r="E352" i="2"/>
  <c r="I352" i="2" s="1"/>
  <c r="E353" i="2"/>
  <c r="I353" i="2" s="1"/>
  <c r="E354" i="2"/>
  <c r="I354" i="2" s="1"/>
  <c r="E355" i="2"/>
  <c r="I355" i="2" s="1"/>
  <c r="E356" i="2"/>
  <c r="I356" i="2" s="1"/>
  <c r="E357" i="2"/>
  <c r="I357" i="2" s="1"/>
  <c r="E358" i="2"/>
  <c r="I358" i="2" s="1"/>
  <c r="E359" i="2"/>
  <c r="I359" i="2" s="1"/>
  <c r="E360" i="2"/>
  <c r="I360" i="2" s="1"/>
  <c r="E361" i="2"/>
  <c r="I361" i="2" s="1"/>
  <c r="E362" i="2"/>
  <c r="I362" i="2" s="1"/>
  <c r="E363" i="2"/>
  <c r="I363" i="2" s="1"/>
  <c r="E364" i="2"/>
  <c r="I364" i="2" s="1"/>
  <c r="E365" i="2"/>
  <c r="I365" i="2" s="1"/>
  <c r="E366" i="2"/>
  <c r="I366" i="2" s="1"/>
  <c r="E367" i="2"/>
  <c r="I367" i="2" s="1"/>
  <c r="E368" i="2"/>
  <c r="I368" i="2" s="1"/>
  <c r="E369" i="2"/>
  <c r="I369" i="2" s="1"/>
  <c r="E370" i="2"/>
  <c r="I370" i="2" s="1"/>
  <c r="E371" i="2"/>
  <c r="I371" i="2" s="1"/>
  <c r="E372" i="2"/>
  <c r="I372" i="2" s="1"/>
  <c r="E373" i="2"/>
  <c r="I373" i="2" s="1"/>
  <c r="E374" i="2"/>
  <c r="I374" i="2" s="1"/>
  <c r="E375" i="2"/>
  <c r="I375" i="2" s="1"/>
  <c r="E376" i="2"/>
  <c r="I376" i="2" s="1"/>
  <c r="E377" i="2"/>
  <c r="I377" i="2" s="1"/>
  <c r="E378" i="2"/>
  <c r="I378" i="2" s="1"/>
  <c r="E379" i="2"/>
  <c r="I379" i="2" s="1"/>
  <c r="E380" i="2"/>
  <c r="I380" i="2" s="1"/>
  <c r="E381" i="2"/>
  <c r="I381" i="2" s="1"/>
  <c r="E382" i="2"/>
  <c r="I382" i="2" s="1"/>
  <c r="E383" i="2"/>
  <c r="I383" i="2" s="1"/>
  <c r="E384" i="2"/>
  <c r="I384" i="2" s="1"/>
  <c r="E385" i="2"/>
  <c r="I385" i="2" s="1"/>
  <c r="E386" i="2"/>
  <c r="I386" i="2" s="1"/>
  <c r="E387" i="2"/>
  <c r="I387" i="2" s="1"/>
  <c r="E388" i="2"/>
  <c r="I388" i="2" s="1"/>
  <c r="E389" i="2"/>
  <c r="I389" i="2" s="1"/>
  <c r="E390" i="2"/>
  <c r="I390" i="2" s="1"/>
  <c r="E391" i="2"/>
  <c r="I391" i="2" s="1"/>
  <c r="E392" i="2"/>
  <c r="I392" i="2" s="1"/>
  <c r="E393" i="2"/>
  <c r="I393" i="2" s="1"/>
  <c r="E394" i="2"/>
  <c r="I394" i="2" s="1"/>
  <c r="E395" i="2"/>
  <c r="I395" i="2" s="1"/>
  <c r="E396" i="2"/>
  <c r="I396" i="2" s="1"/>
  <c r="E397" i="2"/>
  <c r="I397" i="2" s="1"/>
  <c r="E398" i="2"/>
  <c r="I398" i="2" s="1"/>
  <c r="E399" i="2"/>
  <c r="I399" i="2" s="1"/>
  <c r="E400" i="2"/>
  <c r="I400" i="2" s="1"/>
  <c r="E401" i="2"/>
  <c r="I401" i="2" s="1"/>
  <c r="E402" i="2"/>
  <c r="I402" i="2" s="1"/>
  <c r="E403" i="2"/>
  <c r="I403" i="2" s="1"/>
  <c r="E404" i="2"/>
  <c r="I404" i="2" s="1"/>
  <c r="E405" i="2"/>
  <c r="I405" i="2" s="1"/>
  <c r="E406" i="2"/>
  <c r="I406" i="2" s="1"/>
  <c r="E407" i="2"/>
  <c r="I407" i="2" s="1"/>
  <c r="E408" i="2"/>
  <c r="I408" i="2" s="1"/>
  <c r="E409" i="2"/>
  <c r="I409" i="2" s="1"/>
  <c r="E410" i="2"/>
  <c r="I410" i="2" s="1"/>
  <c r="E411" i="2"/>
  <c r="I411" i="2" s="1"/>
  <c r="E412" i="2"/>
  <c r="I412" i="2" s="1"/>
  <c r="E413" i="2"/>
  <c r="I413" i="2" s="1"/>
  <c r="E414" i="2"/>
  <c r="I414" i="2" s="1"/>
  <c r="E415" i="2"/>
  <c r="I415" i="2" s="1"/>
  <c r="E416" i="2"/>
  <c r="I416" i="2" s="1"/>
  <c r="E417" i="2"/>
  <c r="I417" i="2" s="1"/>
  <c r="E418" i="2"/>
  <c r="I418" i="2" s="1"/>
  <c r="E419" i="2"/>
  <c r="I419" i="2" s="1"/>
  <c r="E420" i="2"/>
  <c r="I420" i="2" s="1"/>
  <c r="E421" i="2"/>
  <c r="I421" i="2" s="1"/>
  <c r="E422" i="2"/>
  <c r="I422" i="2" s="1"/>
  <c r="E423" i="2"/>
  <c r="I423" i="2" s="1"/>
  <c r="E424" i="2"/>
  <c r="I424" i="2" s="1"/>
  <c r="E425" i="2"/>
  <c r="I425" i="2" s="1"/>
  <c r="E426" i="2"/>
  <c r="I426" i="2" s="1"/>
  <c r="E427" i="2"/>
  <c r="I427" i="2" s="1"/>
  <c r="E428" i="2"/>
  <c r="I428" i="2" s="1"/>
  <c r="E429" i="2"/>
  <c r="I429" i="2" s="1"/>
  <c r="E430" i="2"/>
  <c r="I430" i="2" s="1"/>
  <c r="E431" i="2"/>
  <c r="I431" i="2" s="1"/>
  <c r="E432" i="2"/>
  <c r="I432" i="2" s="1"/>
  <c r="E433" i="2"/>
  <c r="I433" i="2" s="1"/>
  <c r="E434" i="2"/>
  <c r="I434" i="2" s="1"/>
  <c r="E435" i="2"/>
  <c r="I435" i="2" s="1"/>
  <c r="E436" i="2"/>
  <c r="I436" i="2" s="1"/>
  <c r="E437" i="2"/>
  <c r="I437" i="2" s="1"/>
  <c r="E438" i="2"/>
  <c r="I438" i="2" s="1"/>
  <c r="E439" i="2"/>
  <c r="I439" i="2" s="1"/>
  <c r="E440" i="2"/>
  <c r="I440" i="2" s="1"/>
  <c r="E441" i="2"/>
  <c r="I441" i="2" s="1"/>
  <c r="E442" i="2"/>
  <c r="I442" i="2" s="1"/>
  <c r="E443" i="2"/>
  <c r="I443" i="2" s="1"/>
  <c r="E444" i="2"/>
  <c r="I444" i="2" s="1"/>
  <c r="E445" i="2"/>
  <c r="I445" i="2" s="1"/>
  <c r="E446" i="2"/>
  <c r="I446" i="2" s="1"/>
  <c r="E447" i="2"/>
  <c r="I447" i="2" s="1"/>
  <c r="E448" i="2"/>
  <c r="I448" i="2" s="1"/>
  <c r="E449" i="2"/>
  <c r="I449" i="2" s="1"/>
  <c r="E450" i="2"/>
  <c r="I450" i="2" s="1"/>
  <c r="E451" i="2"/>
  <c r="E452" i="2"/>
  <c r="I452" i="2" s="1"/>
  <c r="E453" i="2"/>
  <c r="I453" i="2" s="1"/>
  <c r="E454" i="2"/>
  <c r="I454" i="2" s="1"/>
  <c r="E455" i="2"/>
  <c r="I455" i="2" s="1"/>
  <c r="E456" i="2"/>
  <c r="I456" i="2" s="1"/>
  <c r="E457" i="2"/>
  <c r="I457" i="2" s="1"/>
  <c r="E458" i="2"/>
  <c r="I458" i="2" s="1"/>
  <c r="E459" i="2"/>
  <c r="I459" i="2" s="1"/>
  <c r="E460" i="2"/>
  <c r="I460" i="2" s="1"/>
  <c r="E461" i="2"/>
  <c r="I461" i="2" s="1"/>
  <c r="E462" i="2"/>
  <c r="I462" i="2" s="1"/>
  <c r="E463" i="2"/>
  <c r="I463" i="2" s="1"/>
  <c r="E464" i="2"/>
  <c r="I464" i="2" s="1"/>
  <c r="E465" i="2"/>
  <c r="I465" i="2" s="1"/>
  <c r="E466" i="2"/>
  <c r="I466" i="2" s="1"/>
  <c r="E467" i="2"/>
  <c r="I467" i="2" s="1"/>
  <c r="E468" i="2"/>
  <c r="I468" i="2" s="1"/>
  <c r="E469" i="2"/>
  <c r="I469" i="2" s="1"/>
  <c r="E470" i="2"/>
  <c r="I470" i="2" s="1"/>
  <c r="E471" i="2"/>
  <c r="I471" i="2" s="1"/>
  <c r="E472" i="2"/>
  <c r="I472" i="2" s="1"/>
  <c r="E473" i="2"/>
  <c r="I473" i="2" s="1"/>
  <c r="E474" i="2"/>
  <c r="I474" i="2" s="1"/>
  <c r="E475" i="2"/>
  <c r="I475" i="2" s="1"/>
  <c r="E476" i="2"/>
  <c r="I476" i="2" s="1"/>
  <c r="E477" i="2"/>
  <c r="I477" i="2" s="1"/>
  <c r="E478" i="2"/>
  <c r="I478" i="2" s="1"/>
  <c r="E479" i="2"/>
  <c r="I479" i="2" s="1"/>
  <c r="E480" i="2"/>
  <c r="I480" i="2" s="1"/>
  <c r="E481" i="2"/>
  <c r="I481" i="2" s="1"/>
  <c r="E482" i="2"/>
  <c r="I482" i="2" s="1"/>
  <c r="E483" i="2"/>
  <c r="I483" i="2" s="1"/>
  <c r="E484" i="2"/>
  <c r="I484" i="2" s="1"/>
  <c r="E485" i="2"/>
  <c r="I485" i="2" s="1"/>
  <c r="E486" i="2"/>
  <c r="I486" i="2" s="1"/>
  <c r="E487" i="2"/>
  <c r="I487" i="2" s="1"/>
  <c r="E488" i="2"/>
  <c r="I488" i="2" s="1"/>
  <c r="E489" i="2"/>
  <c r="I489" i="2" s="1"/>
  <c r="E490" i="2"/>
  <c r="I490" i="2" s="1"/>
  <c r="E491" i="2"/>
  <c r="I491" i="2" s="1"/>
  <c r="E492" i="2"/>
  <c r="I492" i="2" s="1"/>
  <c r="E493" i="2"/>
  <c r="I493" i="2" s="1"/>
  <c r="E494" i="2"/>
  <c r="I494" i="2" s="1"/>
  <c r="E495" i="2"/>
  <c r="I495" i="2" s="1"/>
  <c r="E496" i="2"/>
  <c r="I496" i="2" s="1"/>
  <c r="E497" i="2"/>
  <c r="I497" i="2" s="1"/>
  <c r="E498" i="2"/>
  <c r="I498" i="2" s="1"/>
  <c r="E499" i="2"/>
  <c r="I499" i="2" s="1"/>
  <c r="E500" i="2"/>
  <c r="I500" i="2" s="1"/>
  <c r="E501" i="2"/>
  <c r="I501" i="2" s="1"/>
  <c r="E502" i="2"/>
  <c r="I502" i="2" s="1"/>
  <c r="E503" i="2"/>
  <c r="I503" i="2" s="1"/>
  <c r="E504" i="2"/>
  <c r="I504" i="2" s="1"/>
  <c r="E505" i="2"/>
  <c r="I505" i="2" s="1"/>
  <c r="E506" i="2"/>
  <c r="I506" i="2" s="1"/>
  <c r="E507" i="2"/>
  <c r="I507" i="2" s="1"/>
  <c r="E508" i="2"/>
  <c r="I508" i="2" s="1"/>
  <c r="E509" i="2"/>
  <c r="I509" i="2" s="1"/>
  <c r="E510" i="2"/>
  <c r="I510" i="2" s="1"/>
  <c r="E511" i="2"/>
  <c r="I511" i="2" s="1"/>
  <c r="E512" i="2"/>
  <c r="I512" i="2" s="1"/>
  <c r="E513" i="2"/>
  <c r="I513" i="2" s="1"/>
  <c r="E514" i="2"/>
  <c r="I514" i="2" s="1"/>
  <c r="E515" i="2"/>
  <c r="I515" i="2" s="1"/>
  <c r="E516" i="2"/>
  <c r="I516" i="2" s="1"/>
  <c r="E517" i="2"/>
  <c r="I517" i="2" s="1"/>
  <c r="E518" i="2"/>
  <c r="I518" i="2" s="1"/>
  <c r="E519" i="2"/>
  <c r="I519" i="2" s="1"/>
  <c r="E520" i="2"/>
  <c r="I520" i="2" s="1"/>
  <c r="E521" i="2"/>
  <c r="I521" i="2" s="1"/>
  <c r="E522" i="2"/>
  <c r="I522" i="2" s="1"/>
  <c r="E523" i="2"/>
  <c r="I523" i="2" s="1"/>
  <c r="E524" i="2"/>
  <c r="I524" i="2" s="1"/>
  <c r="E525" i="2"/>
  <c r="I525" i="2" s="1"/>
  <c r="E526" i="2"/>
  <c r="I526" i="2" s="1"/>
  <c r="E527" i="2"/>
  <c r="I527" i="2" s="1"/>
  <c r="E528" i="2"/>
  <c r="I528" i="2" s="1"/>
  <c r="E529" i="2"/>
  <c r="I529" i="2" s="1"/>
  <c r="E530" i="2"/>
  <c r="I530" i="2" s="1"/>
  <c r="E531" i="2"/>
  <c r="I531" i="2" s="1"/>
  <c r="E532" i="2"/>
  <c r="I532" i="2" s="1"/>
  <c r="E533" i="2"/>
  <c r="I533" i="2" s="1"/>
  <c r="E534" i="2"/>
  <c r="I534" i="2" s="1"/>
  <c r="E535" i="2"/>
  <c r="I535" i="2" s="1"/>
  <c r="E536" i="2"/>
  <c r="I536" i="2" s="1"/>
  <c r="E537" i="2"/>
  <c r="I537" i="2" s="1"/>
  <c r="E538" i="2"/>
  <c r="I538" i="2" s="1"/>
  <c r="E539" i="2"/>
  <c r="I539" i="2" s="1"/>
  <c r="E540" i="2"/>
  <c r="I540" i="2" s="1"/>
  <c r="E541" i="2"/>
  <c r="I541" i="2" s="1"/>
  <c r="E542" i="2"/>
  <c r="I542" i="2" s="1"/>
  <c r="E543" i="2"/>
  <c r="I543" i="2" s="1"/>
  <c r="E544" i="2"/>
  <c r="I544" i="2" s="1"/>
  <c r="E545" i="2"/>
  <c r="I545" i="2" s="1"/>
  <c r="E546" i="2"/>
  <c r="I546" i="2" s="1"/>
  <c r="E547" i="2"/>
  <c r="I547" i="2" s="1"/>
  <c r="E548" i="2"/>
  <c r="I548" i="2" s="1"/>
  <c r="E549" i="2"/>
  <c r="I549" i="2" s="1"/>
  <c r="E550" i="2"/>
  <c r="I550" i="2" s="1"/>
  <c r="E551" i="2"/>
  <c r="I551" i="2" s="1"/>
  <c r="E552" i="2"/>
  <c r="I552" i="2" s="1"/>
  <c r="E553" i="2"/>
  <c r="I553" i="2" s="1"/>
  <c r="E554" i="2"/>
  <c r="I554" i="2" s="1"/>
  <c r="E555" i="2"/>
  <c r="I555" i="2" s="1"/>
  <c r="E556" i="2"/>
  <c r="I556" i="2" s="1"/>
  <c r="E557" i="2"/>
  <c r="I557" i="2" s="1"/>
  <c r="E558" i="2"/>
  <c r="I558" i="2" s="1"/>
  <c r="E559" i="2"/>
  <c r="I559" i="2" s="1"/>
  <c r="E560" i="2"/>
  <c r="I560" i="2" s="1"/>
  <c r="E561" i="2"/>
  <c r="I561" i="2" s="1"/>
  <c r="E562" i="2"/>
  <c r="I562" i="2" s="1"/>
  <c r="E563" i="2"/>
  <c r="I563" i="2" s="1"/>
  <c r="E564" i="2"/>
  <c r="I564" i="2" s="1"/>
  <c r="E565" i="2"/>
  <c r="I565" i="2" s="1"/>
  <c r="E566" i="2"/>
  <c r="I566" i="2" s="1"/>
  <c r="E567" i="2"/>
  <c r="I567" i="2" s="1"/>
  <c r="E568" i="2"/>
  <c r="I568" i="2" s="1"/>
  <c r="E569" i="2"/>
  <c r="I569" i="2" s="1"/>
  <c r="E570" i="2"/>
  <c r="I570" i="2" s="1"/>
  <c r="E571" i="2"/>
  <c r="I571" i="2" s="1"/>
  <c r="E572" i="2"/>
  <c r="I572" i="2" s="1"/>
  <c r="E573" i="2"/>
  <c r="I573" i="2" s="1"/>
  <c r="E574" i="2"/>
  <c r="I574" i="2" s="1"/>
  <c r="E575" i="2"/>
  <c r="I575" i="2" s="1"/>
  <c r="E576" i="2"/>
  <c r="I576" i="2" s="1"/>
  <c r="E577" i="2"/>
  <c r="I577" i="2" s="1"/>
  <c r="E578" i="2"/>
  <c r="I578" i="2" s="1"/>
  <c r="E579" i="2"/>
  <c r="I579" i="2" s="1"/>
  <c r="E580" i="2"/>
  <c r="I580" i="2" s="1"/>
  <c r="E581" i="2"/>
  <c r="I581" i="2" s="1"/>
  <c r="E582" i="2"/>
  <c r="I582" i="2" s="1"/>
  <c r="E583" i="2"/>
  <c r="I583" i="2" s="1"/>
  <c r="E584" i="2"/>
  <c r="I584" i="2" s="1"/>
  <c r="E585" i="2"/>
  <c r="I585" i="2" s="1"/>
  <c r="E586" i="2"/>
  <c r="I586" i="2" s="1"/>
  <c r="E587" i="2"/>
  <c r="I587" i="2" s="1"/>
  <c r="E588" i="2"/>
  <c r="I588" i="2" s="1"/>
  <c r="E589" i="2"/>
  <c r="I589" i="2" s="1"/>
  <c r="E590" i="2"/>
  <c r="I590" i="2" s="1"/>
  <c r="E591" i="2"/>
  <c r="I591" i="2" s="1"/>
  <c r="E592" i="2"/>
  <c r="I592" i="2" s="1"/>
  <c r="E593" i="2"/>
  <c r="I593" i="2" s="1"/>
  <c r="E594" i="2"/>
  <c r="I594" i="2" s="1"/>
  <c r="E595" i="2"/>
  <c r="I595" i="2" s="1"/>
  <c r="E596" i="2"/>
  <c r="I596" i="2" s="1"/>
  <c r="E597" i="2"/>
  <c r="E598" i="2"/>
  <c r="I598" i="2" s="1"/>
  <c r="E599" i="2"/>
  <c r="I599" i="2" s="1"/>
  <c r="E600" i="2"/>
  <c r="I600" i="2" s="1"/>
  <c r="E601" i="2"/>
  <c r="I601" i="2" s="1"/>
  <c r="E602" i="2"/>
  <c r="I602" i="2" s="1"/>
  <c r="E603" i="2"/>
  <c r="I603" i="2" s="1"/>
  <c r="E604" i="2"/>
  <c r="I604" i="2" s="1"/>
  <c r="E605" i="2"/>
  <c r="I605" i="2" s="1"/>
  <c r="E606" i="2"/>
  <c r="I606" i="2" s="1"/>
  <c r="E607" i="2"/>
  <c r="I607" i="2" s="1"/>
  <c r="E608" i="2"/>
  <c r="I608" i="2" s="1"/>
  <c r="E609" i="2"/>
  <c r="I609" i="2" s="1"/>
  <c r="E610" i="2"/>
  <c r="I610" i="2" s="1"/>
  <c r="E611" i="2"/>
  <c r="I611" i="2" s="1"/>
  <c r="E612" i="2"/>
  <c r="I612" i="2" s="1"/>
  <c r="E613" i="2"/>
  <c r="I613" i="2" s="1"/>
  <c r="E614" i="2"/>
  <c r="I614" i="2" s="1"/>
  <c r="E615" i="2"/>
  <c r="I615" i="2" s="1"/>
  <c r="E616" i="2"/>
  <c r="I616" i="2" s="1"/>
  <c r="E617" i="2"/>
  <c r="I617" i="2" s="1"/>
  <c r="E618" i="2"/>
  <c r="I618" i="2" s="1"/>
  <c r="E619" i="2"/>
  <c r="I619" i="2" s="1"/>
  <c r="E620" i="2"/>
  <c r="I620" i="2" s="1"/>
  <c r="E621" i="2"/>
  <c r="I621" i="2" s="1"/>
  <c r="E622" i="2"/>
  <c r="I622" i="2" s="1"/>
  <c r="E623" i="2"/>
  <c r="I623" i="2" s="1"/>
  <c r="E624" i="2"/>
  <c r="I624" i="2" s="1"/>
  <c r="E625" i="2"/>
  <c r="I625" i="2" s="1"/>
  <c r="E626" i="2"/>
  <c r="I626" i="2" s="1"/>
  <c r="E627" i="2"/>
  <c r="I627" i="2" s="1"/>
  <c r="E628" i="2"/>
  <c r="I628" i="2" s="1"/>
  <c r="E629" i="2"/>
  <c r="I629" i="2" s="1"/>
  <c r="E630" i="2"/>
  <c r="I630" i="2" s="1"/>
  <c r="E631" i="2"/>
  <c r="I631" i="2" s="1"/>
  <c r="E632" i="2"/>
  <c r="I632" i="2" s="1"/>
  <c r="E633" i="2"/>
  <c r="I633" i="2" s="1"/>
  <c r="E634" i="2"/>
  <c r="I634" i="2" s="1"/>
  <c r="E635" i="2"/>
  <c r="I635" i="2" s="1"/>
  <c r="E636" i="2"/>
  <c r="I636" i="2" s="1"/>
  <c r="E637" i="2"/>
  <c r="I637" i="2" s="1"/>
  <c r="E638" i="2"/>
  <c r="I638" i="2" s="1"/>
  <c r="E639" i="2"/>
  <c r="I639" i="2" s="1"/>
  <c r="E640" i="2"/>
  <c r="I640" i="2" s="1"/>
  <c r="E641" i="2"/>
  <c r="I641" i="2" s="1"/>
  <c r="E642" i="2"/>
  <c r="I642" i="2" s="1"/>
  <c r="E643" i="2"/>
  <c r="I643" i="2" s="1"/>
  <c r="E644" i="2"/>
  <c r="I644" i="2" s="1"/>
  <c r="E645" i="2"/>
  <c r="I645" i="2" s="1"/>
  <c r="E646" i="2"/>
  <c r="I646" i="2" s="1"/>
  <c r="E647" i="2"/>
  <c r="I647" i="2" s="1"/>
  <c r="E648" i="2"/>
  <c r="I648" i="2" s="1"/>
  <c r="E649" i="2"/>
  <c r="I649" i="2" s="1"/>
  <c r="E650" i="2"/>
  <c r="I650" i="2" s="1"/>
  <c r="E651" i="2"/>
  <c r="I651" i="2" s="1"/>
  <c r="E652" i="2"/>
  <c r="I652" i="2" s="1"/>
  <c r="E653" i="2"/>
  <c r="I653" i="2" s="1"/>
  <c r="E654" i="2"/>
  <c r="I654" i="2" s="1"/>
  <c r="E655" i="2"/>
  <c r="I655" i="2" s="1"/>
  <c r="E656" i="2"/>
  <c r="I656" i="2" s="1"/>
  <c r="E657" i="2"/>
  <c r="I657" i="2" s="1"/>
  <c r="E658" i="2"/>
  <c r="I658" i="2" s="1"/>
  <c r="E659" i="2"/>
  <c r="I659" i="2" s="1"/>
  <c r="E660" i="2"/>
  <c r="I660" i="2" s="1"/>
  <c r="E661" i="2"/>
  <c r="I661" i="2" s="1"/>
  <c r="E662" i="2"/>
  <c r="I662" i="2" s="1"/>
  <c r="E663" i="2"/>
  <c r="I663" i="2" s="1"/>
  <c r="E664" i="2"/>
  <c r="I664" i="2" s="1"/>
  <c r="E665" i="2"/>
  <c r="I665" i="2" s="1"/>
  <c r="E666" i="2"/>
  <c r="I666" i="2" s="1"/>
  <c r="E667" i="2"/>
  <c r="I667" i="2" s="1"/>
  <c r="E668" i="2"/>
  <c r="I668" i="2" s="1"/>
  <c r="E669" i="2"/>
  <c r="I669" i="2" s="1"/>
  <c r="E670" i="2"/>
  <c r="I670" i="2" s="1"/>
  <c r="E671" i="2"/>
  <c r="I671" i="2" s="1"/>
  <c r="E672" i="2"/>
  <c r="I672" i="2" s="1"/>
  <c r="E673" i="2"/>
  <c r="I673" i="2" s="1"/>
  <c r="E674" i="2"/>
  <c r="I674" i="2" s="1"/>
  <c r="E675" i="2"/>
  <c r="I675" i="2" s="1"/>
  <c r="E676" i="2"/>
  <c r="I676" i="2" s="1"/>
  <c r="E677" i="2"/>
  <c r="I677" i="2" s="1"/>
  <c r="E678" i="2"/>
  <c r="I678" i="2" s="1"/>
  <c r="E679" i="2"/>
  <c r="I679" i="2" s="1"/>
  <c r="E680" i="2"/>
  <c r="I680" i="2" s="1"/>
  <c r="E681" i="2"/>
  <c r="I681" i="2" s="1"/>
  <c r="E682" i="2"/>
  <c r="I682" i="2" s="1"/>
  <c r="E683" i="2"/>
  <c r="I683" i="2" s="1"/>
  <c r="E684" i="2"/>
  <c r="I684" i="2" s="1"/>
  <c r="E685" i="2"/>
  <c r="I685" i="2" s="1"/>
  <c r="E686" i="2"/>
  <c r="I686" i="2" s="1"/>
  <c r="E687" i="2"/>
  <c r="I687" i="2" s="1"/>
  <c r="E688" i="2"/>
  <c r="I688" i="2" s="1"/>
  <c r="E689" i="2"/>
  <c r="E690" i="2"/>
  <c r="E691" i="2"/>
  <c r="I691" i="2" s="1"/>
  <c r="E692" i="2"/>
  <c r="I692" i="2" s="1"/>
  <c r="E693" i="2"/>
  <c r="I693" i="2" s="1"/>
  <c r="E694" i="2"/>
  <c r="I694" i="2" s="1"/>
  <c r="E695" i="2"/>
  <c r="I695" i="2" s="1"/>
  <c r="E696" i="2"/>
  <c r="I696" i="2" s="1"/>
  <c r="E697" i="2"/>
  <c r="I697" i="2" s="1"/>
  <c r="E698" i="2"/>
  <c r="I698" i="2" s="1"/>
  <c r="E699" i="2"/>
  <c r="I699" i="2" s="1"/>
  <c r="E700" i="2"/>
  <c r="I700" i="2" s="1"/>
  <c r="E701" i="2"/>
  <c r="I701" i="2" s="1"/>
  <c r="E702" i="2"/>
  <c r="I702" i="2" s="1"/>
  <c r="E703" i="2"/>
  <c r="I703" i="2" s="1"/>
  <c r="E704" i="2"/>
  <c r="I704" i="2" s="1"/>
  <c r="E705" i="2"/>
  <c r="I705" i="2" s="1"/>
  <c r="E706" i="2"/>
  <c r="I706" i="2" s="1"/>
  <c r="E707" i="2"/>
  <c r="I707" i="2" s="1"/>
  <c r="E708" i="2"/>
  <c r="I708" i="2" s="1"/>
  <c r="E709" i="2"/>
  <c r="I709" i="2" s="1"/>
  <c r="E710" i="2"/>
  <c r="I710" i="2" s="1"/>
  <c r="E711" i="2"/>
  <c r="I711" i="2" s="1"/>
  <c r="E712" i="2"/>
  <c r="E713" i="2"/>
  <c r="E714" i="2"/>
  <c r="I714" i="2" s="1"/>
  <c r="E715" i="2"/>
  <c r="I715" i="2" s="1"/>
  <c r="E716" i="2"/>
  <c r="I716" i="2" s="1"/>
  <c r="E717" i="2"/>
  <c r="I717" i="2" s="1"/>
  <c r="E718" i="2"/>
  <c r="I718" i="2" s="1"/>
  <c r="E719" i="2"/>
  <c r="I719" i="2" s="1"/>
  <c r="E720" i="2"/>
  <c r="I720" i="2" s="1"/>
  <c r="E721" i="2"/>
  <c r="I721" i="2" s="1"/>
  <c r="E722" i="2"/>
  <c r="I722" i="2" s="1"/>
  <c r="E723" i="2"/>
  <c r="I723" i="2" s="1"/>
  <c r="E724" i="2"/>
  <c r="I724" i="2" s="1"/>
  <c r="E725" i="2"/>
  <c r="I725" i="2" s="1"/>
  <c r="E726" i="2"/>
  <c r="I726" i="2" s="1"/>
  <c r="E727" i="2"/>
  <c r="I727" i="2" s="1"/>
  <c r="E728" i="2"/>
  <c r="I728" i="2" s="1"/>
  <c r="E729" i="2"/>
  <c r="I729" i="2" s="1"/>
  <c r="E730" i="2"/>
  <c r="E731" i="2"/>
  <c r="I731" i="2" s="1"/>
  <c r="E732" i="2"/>
  <c r="I732" i="2" s="1"/>
  <c r="E733" i="2"/>
  <c r="I733" i="2" s="1"/>
  <c r="E734" i="2"/>
  <c r="I734" i="2" s="1"/>
  <c r="E735" i="2"/>
  <c r="I735" i="2" s="1"/>
  <c r="E736" i="2"/>
  <c r="E737" i="2"/>
  <c r="I737" i="2" s="1"/>
  <c r="E738" i="2"/>
  <c r="I738" i="2" s="1"/>
  <c r="E739" i="2"/>
  <c r="I739" i="2" s="1"/>
  <c r="E740" i="2"/>
  <c r="I740" i="2" s="1"/>
  <c r="E741" i="2"/>
  <c r="I741" i="2" s="1"/>
  <c r="E742" i="2"/>
  <c r="I742" i="2" s="1"/>
  <c r="E743" i="2"/>
  <c r="I743" i="2" s="1"/>
  <c r="E744" i="2"/>
  <c r="I744" i="2" s="1"/>
  <c r="E745" i="2"/>
  <c r="I745" i="2" s="1"/>
  <c r="E746" i="2"/>
  <c r="I746" i="2" s="1"/>
  <c r="E747" i="2"/>
  <c r="I747" i="2" s="1"/>
  <c r="E748" i="2"/>
  <c r="I748" i="2" s="1"/>
  <c r="E749" i="2"/>
  <c r="I749" i="2" s="1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F4" i="3"/>
  <c r="F5" i="3" s="1"/>
  <c r="F7" i="3"/>
  <c r="F8" i="3" s="1"/>
  <c r="F9" i="3" s="1"/>
  <c r="F11" i="3"/>
  <c r="F15" i="3"/>
  <c r="F18" i="3"/>
  <c r="F20" i="3"/>
  <c r="F21" i="3" s="1"/>
  <c r="F24" i="3"/>
  <c r="F29" i="3"/>
  <c r="F30" i="3" s="1"/>
  <c r="F31" i="3" s="1"/>
  <c r="F35" i="3"/>
  <c r="F36" i="3" s="1"/>
  <c r="F39" i="3"/>
  <c r="F40" i="3" s="1"/>
  <c r="F43" i="3"/>
  <c r="F44" i="3" s="1"/>
  <c r="F49" i="3"/>
  <c r="F50" i="3" s="1"/>
  <c r="F52" i="3"/>
  <c r="F58" i="3"/>
  <c r="F59" i="3" s="1"/>
  <c r="F62" i="3"/>
  <c r="F63" i="3" s="1"/>
  <c r="F64" i="3" s="1"/>
  <c r="F65" i="3" s="1"/>
  <c r="F70" i="3"/>
  <c r="F78" i="3"/>
  <c r="F79" i="3" s="1"/>
  <c r="F80" i="3" s="1"/>
  <c r="F83" i="3"/>
  <c r="F84" i="3"/>
  <c r="F86" i="3"/>
  <c r="F87" i="3" s="1"/>
  <c r="F94" i="3"/>
  <c r="F95" i="3" s="1"/>
  <c r="F96" i="3" s="1"/>
  <c r="F100" i="3"/>
  <c r="F101" i="3" s="1"/>
  <c r="F102" i="3" s="1"/>
  <c r="F103" i="3" s="1"/>
  <c r="F104" i="3" s="1"/>
  <c r="F106" i="3"/>
  <c r="F111" i="3"/>
  <c r="F112" i="3" s="1"/>
  <c r="F116" i="3"/>
  <c r="F117" i="3"/>
  <c r="F120" i="3"/>
  <c r="F121" i="3" s="1"/>
  <c r="F126" i="3"/>
  <c r="F127" i="3" s="1"/>
  <c r="F128" i="3" s="1"/>
  <c r="F129" i="3" s="1"/>
  <c r="F130" i="3" s="1"/>
  <c r="F135" i="3"/>
  <c r="F140" i="3"/>
  <c r="F141" i="3" s="1"/>
  <c r="F143" i="3"/>
  <c r="F144" i="3" s="1"/>
  <c r="F145" i="3" s="1"/>
  <c r="F153" i="3"/>
  <c r="F154" i="3"/>
  <c r="F155" i="3"/>
  <c r="F157" i="3"/>
  <c r="F158" i="3" s="1"/>
  <c r="F161" i="3"/>
  <c r="F162" i="3" s="1"/>
  <c r="F163" i="3" s="1"/>
  <c r="F164" i="3" s="1"/>
  <c r="F165" i="3" s="1"/>
  <c r="F166" i="3" s="1"/>
  <c r="F173" i="3"/>
  <c r="F178" i="3"/>
  <c r="F179" i="3" s="1"/>
  <c r="F182" i="3"/>
  <c r="F183" i="3" s="1"/>
  <c r="F185" i="3"/>
  <c r="F186" i="3"/>
  <c r="F189" i="3"/>
  <c r="F190" i="3" s="1"/>
  <c r="F191" i="3" s="1"/>
  <c r="F192" i="3" s="1"/>
  <c r="F193" i="3" s="1"/>
  <c r="F194" i="3" s="1"/>
  <c r="F197" i="3"/>
  <c r="F198" i="3" s="1"/>
  <c r="F199" i="3" s="1"/>
  <c r="F200" i="3" s="1"/>
  <c r="F201" i="3" s="1"/>
  <c r="F203" i="3"/>
  <c r="F204" i="3" s="1"/>
  <c r="F205" i="3" s="1"/>
  <c r="F206" i="3" s="1"/>
  <c r="F207" i="3" s="1"/>
  <c r="F208" i="3" s="1"/>
  <c r="F209" i="3" s="1"/>
  <c r="F210" i="3" s="1"/>
  <c r="F212" i="3"/>
  <c r="F213" i="3" s="1"/>
  <c r="F217" i="3"/>
  <c r="F218" i="3" s="1"/>
  <c r="F219" i="3" s="1"/>
  <c r="F220" i="3" s="1"/>
  <c r="F223" i="3"/>
  <c r="F224" i="3" s="1"/>
  <c r="F225" i="3" s="1"/>
  <c r="F226" i="3" s="1"/>
  <c r="F232" i="3"/>
  <c r="F233" i="3" s="1"/>
  <c r="F234" i="3" s="1"/>
  <c r="F235" i="3" s="1"/>
  <c r="F236" i="3" s="1"/>
  <c r="F237" i="3" s="1"/>
  <c r="F241" i="3"/>
  <c r="F245" i="3"/>
  <c r="F246" i="3" s="1"/>
  <c r="F247" i="3" s="1"/>
  <c r="F248" i="3" s="1"/>
  <c r="F249" i="3" s="1"/>
  <c r="F251" i="3"/>
  <c r="F252" i="3" s="1"/>
  <c r="F253" i="3" s="1"/>
  <c r="F254" i="3" s="1"/>
  <c r="F255" i="3" s="1"/>
  <c r="F257" i="3"/>
  <c r="F259" i="3"/>
  <c r="F260" i="3" s="1"/>
  <c r="F261" i="3" s="1"/>
  <c r="F262" i="3" s="1"/>
  <c r="F263" i="3" s="1"/>
  <c r="F266" i="3"/>
  <c r="F267" i="3" s="1"/>
  <c r="F271" i="3"/>
  <c r="F272" i="3"/>
  <c r="F273" i="3" s="1"/>
  <c r="F274" i="3" s="1"/>
  <c r="F275" i="3" s="1"/>
  <c r="F280" i="3"/>
  <c r="F281" i="3" s="1"/>
  <c r="F282" i="3" s="1"/>
  <c r="F284" i="3"/>
  <c r="F285" i="3" s="1"/>
  <c r="F288" i="3"/>
  <c r="F289" i="3" s="1"/>
  <c r="F290" i="3" s="1"/>
  <c r="F292" i="3"/>
  <c r="F293" i="3" s="1"/>
  <c r="F295" i="3"/>
  <c r="F297" i="3"/>
  <c r="F298" i="3" s="1"/>
  <c r="F299" i="3" s="1"/>
  <c r="F300" i="3" s="1"/>
  <c r="F302" i="3"/>
  <c r="F303" i="3" s="1"/>
  <c r="F304" i="3" s="1"/>
  <c r="F306" i="3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1" i="3"/>
  <c r="F322" i="3" s="1"/>
  <c r="F323" i="3" s="1"/>
  <c r="F324" i="3" s="1"/>
  <c r="F326" i="3"/>
  <c r="F327" i="3" s="1"/>
  <c r="F328" i="3" s="1"/>
  <c r="F329" i="3" s="1"/>
  <c r="F333" i="3"/>
  <c r="F335" i="3"/>
  <c r="F336" i="3" s="1"/>
  <c r="F337" i="3" s="1"/>
  <c r="F338" i="3" s="1"/>
  <c r="F340" i="3"/>
  <c r="F341" i="3" s="1"/>
  <c r="F342" i="3" s="1"/>
  <c r="F344" i="3"/>
  <c r="F345" i="3" s="1"/>
  <c r="F346" i="3" s="1"/>
  <c r="F347" i="3" s="1"/>
  <c r="F348" i="3" s="1"/>
  <c r="F349" i="3" s="1"/>
  <c r="F350" i="3" s="1"/>
  <c r="F351" i="3" s="1"/>
  <c r="F353" i="3"/>
  <c r="F354" i="3" s="1"/>
  <c r="F355" i="3" s="1"/>
  <c r="F356" i="3" s="1"/>
  <c r="F357" i="3" s="1"/>
  <c r="F359" i="3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1" i="3"/>
  <c r="F372" i="3" s="1"/>
  <c r="F373" i="3" s="1"/>
  <c r="F374" i="3" s="1"/>
  <c r="F375" i="3" s="1"/>
  <c r="F376" i="3" s="1"/>
  <c r="F377" i="3" s="1"/>
  <c r="F379" i="3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7" i="3"/>
  <c r="F398" i="3" s="1"/>
  <c r="F400" i="3"/>
  <c r="F401" i="3" s="1"/>
  <c r="F402" i="3" s="1"/>
  <c r="F405" i="3"/>
  <c r="F406" i="3" s="1"/>
  <c r="F408" i="3"/>
  <c r="F410" i="3"/>
  <c r="F411" i="3" s="1"/>
  <c r="F415" i="3"/>
  <c r="F418" i="3"/>
  <c r="F420" i="3"/>
  <c r="F424" i="3"/>
  <c r="F426" i="3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2" i="3"/>
  <c r="F444" i="3"/>
  <c r="F446" i="3"/>
  <c r="F447" i="3" s="1"/>
  <c r="F449" i="3"/>
  <c r="F450" i="3" s="1"/>
  <c r="F452" i="3"/>
  <c r="F453" i="3" s="1"/>
  <c r="F456" i="3"/>
  <c r="F457" i="3" s="1"/>
  <c r="F458" i="3" s="1"/>
  <c r="F459" i="3" s="1"/>
  <c r="F461" i="3"/>
  <c r="F462" i="3" s="1"/>
  <c r="F463" i="3" s="1"/>
  <c r="F464" i="3" s="1"/>
  <c r="F465" i="3" s="1"/>
  <c r="F466" i="3" s="1"/>
  <c r="F467" i="3" s="1"/>
  <c r="F468" i="3" s="1"/>
  <c r="F470" i="3"/>
  <c r="F471" i="3" s="1"/>
  <c r="F472" i="3" s="1"/>
  <c r="F473" i="3" s="1"/>
  <c r="F475" i="3"/>
  <c r="F476" i="3" s="1"/>
  <c r="F477" i="3" s="1"/>
  <c r="F478" i="3" s="1"/>
  <c r="F479" i="3" s="1"/>
  <c r="F480" i="3" s="1"/>
  <c r="F481" i="3" s="1"/>
  <c r="F482" i="3" s="1"/>
  <c r="F483" i="3" s="1"/>
  <c r="F492" i="3"/>
  <c r="F494" i="3"/>
  <c r="F496" i="3"/>
  <c r="F498" i="3"/>
  <c r="F500" i="3"/>
  <c r="F501" i="3" s="1"/>
  <c r="F502" i="3" s="1"/>
  <c r="F503" i="3" s="1"/>
  <c r="F507" i="3"/>
  <c r="F508" i="3" s="1"/>
  <c r="F510" i="3"/>
  <c r="F511" i="3" s="1"/>
  <c r="F512" i="3" s="1"/>
  <c r="F515" i="3"/>
  <c r="F516" i="3" s="1"/>
  <c r="F518" i="3"/>
  <c r="F522" i="3"/>
  <c r="F523" i="3" s="1"/>
  <c r="F528" i="3"/>
  <c r="F529" i="3" s="1"/>
  <c r="F530" i="3" s="1"/>
  <c r="F531" i="3" s="1"/>
  <c r="F536" i="3"/>
  <c r="F538" i="3"/>
  <c r="F539" i="3" s="1"/>
  <c r="F540" i="3" s="1"/>
  <c r="F544" i="3"/>
  <c r="F546" i="3"/>
  <c r="F547" i="3" s="1"/>
  <c r="F549" i="3"/>
  <c r="F550" i="3" s="1"/>
  <c r="F551" i="3" s="1"/>
  <c r="F555" i="3"/>
  <c r="F556" i="3" s="1"/>
  <c r="F557" i="3" s="1"/>
  <c r="F558" i="3" s="1"/>
  <c r="F559" i="3" s="1"/>
  <c r="F560" i="3" s="1"/>
  <c r="F561" i="3" s="1"/>
  <c r="F567" i="3"/>
  <c r="F568" i="3"/>
  <c r="F569" i="3" s="1"/>
  <c r="F571" i="3"/>
  <c r="F572" i="3" s="1"/>
  <c r="F575" i="3"/>
  <c r="F579" i="3"/>
  <c r="F580" i="3" s="1"/>
  <c r="F582" i="3"/>
  <c r="F583" i="3" s="1"/>
  <c r="F586" i="3"/>
  <c r="F588" i="3"/>
  <c r="F590" i="3"/>
  <c r="F591" i="3" s="1"/>
  <c r="F592" i="3" s="1"/>
  <c r="F593" i="3" s="1"/>
  <c r="F594" i="3" s="1"/>
  <c r="F596" i="3"/>
  <c r="F597" i="3" s="1"/>
  <c r="F598" i="3" s="1"/>
  <c r="F600" i="3"/>
  <c r="F601" i="3" s="1"/>
  <c r="F602" i="3" s="1"/>
  <c r="F604" i="3"/>
  <c r="F608" i="3"/>
  <c r="F609" i="3" s="1"/>
  <c r="F611" i="3"/>
  <c r="F613" i="3"/>
  <c r="F614" i="3" s="1"/>
  <c r="F618" i="3"/>
  <c r="F619" i="3" s="1"/>
  <c r="F620" i="3" s="1"/>
  <c r="F622" i="3"/>
  <c r="F624" i="3"/>
  <c r="F626" i="3"/>
  <c r="F628" i="3"/>
  <c r="F629" i="3" s="1"/>
  <c r="F631" i="3"/>
  <c r="F632" i="3" s="1"/>
  <c r="F634" i="3"/>
  <c r="F636" i="3"/>
  <c r="F637" i="3" s="1"/>
  <c r="F638" i="3" s="1"/>
  <c r="F639" i="3" s="1"/>
  <c r="F640" i="3" s="1"/>
  <c r="F642" i="3"/>
  <c r="F644" i="3"/>
  <c r="F646" i="3"/>
  <c r="F647" i="3" s="1"/>
  <c r="F650" i="3"/>
  <c r="F653" i="3"/>
  <c r="F654" i="3" s="1"/>
  <c r="F655" i="3" s="1"/>
  <c r="F657" i="3"/>
  <c r="F658" i="3" s="1"/>
  <c r="F659" i="3" s="1"/>
  <c r="F660" i="3" s="1"/>
  <c r="F661" i="3" s="1"/>
  <c r="F662" i="3" s="1"/>
  <c r="F663" i="3" s="1"/>
  <c r="F665" i="3"/>
  <c r="F666" i="3" s="1"/>
  <c r="F667" i="3" s="1"/>
  <c r="F668" i="3" s="1"/>
  <c r="F671" i="3"/>
  <c r="F674" i="3"/>
  <c r="F677" i="3"/>
  <c r="F678" i="3" s="1"/>
  <c r="F679" i="3" s="1"/>
  <c r="F682" i="3"/>
  <c r="F683" i="3" s="1"/>
  <c r="F685" i="3"/>
  <c r="F686" i="3" s="1"/>
  <c r="F687" i="3" s="1"/>
  <c r="F689" i="3"/>
  <c r="F693" i="3"/>
  <c r="F694" i="3" s="1"/>
  <c r="F695" i="3" s="1"/>
  <c r="F696" i="3" s="1"/>
  <c r="F697" i="3" s="1"/>
  <c r="F698" i="3" s="1"/>
  <c r="F703" i="3"/>
  <c r="F705" i="3"/>
  <c r="F706" i="3" s="1"/>
  <c r="F708" i="3"/>
  <c r="F710" i="3"/>
  <c r="F711" i="3" s="1"/>
  <c r="F713" i="3"/>
  <c r="F714" i="3"/>
  <c r="F715" i="3" s="1"/>
  <c r="F716" i="3" s="1"/>
  <c r="F720" i="3"/>
  <c r="F722" i="3"/>
  <c r="F724" i="3"/>
  <c r="F726" i="3"/>
  <c r="F727" i="3" s="1"/>
  <c r="F728" i="3" s="1"/>
  <c r="F729" i="3" s="1"/>
  <c r="F730" i="3" s="1"/>
  <c r="F731" i="3" s="1"/>
  <c r="F733" i="3"/>
  <c r="F734" i="3" s="1"/>
  <c r="F735" i="3" s="1"/>
  <c r="F736" i="3" s="1"/>
  <c r="F737" i="3" s="1"/>
  <c r="F738" i="3" s="1"/>
  <c r="F739" i="3" s="1"/>
  <c r="F740" i="3" s="1"/>
  <c r="F741" i="3" s="1"/>
  <c r="F742" i="3" s="1"/>
  <c r="F745" i="3"/>
  <c r="F747" i="3"/>
  <c r="F750" i="3"/>
  <c r="F752" i="3"/>
  <c r="F754" i="3"/>
  <c r="F755" i="3" s="1"/>
  <c r="F756" i="3" s="1"/>
  <c r="F757" i="3" s="1"/>
  <c r="F758" i="3" s="1"/>
  <c r="F761" i="3"/>
  <c r="F763" i="3"/>
  <c r="F764" i="3" s="1"/>
  <c r="F766" i="3"/>
  <c r="F767" i="3" s="1"/>
  <c r="F769" i="3"/>
  <c r="F770" i="3" s="1"/>
  <c r="F771" i="3" s="1"/>
  <c r="F772" i="3" s="1"/>
  <c r="F773" i="3" s="1"/>
  <c r="F774" i="3" s="1"/>
  <c r="F775" i="3" s="1"/>
  <c r="F776" i="3" s="1"/>
  <c r="F777" i="3" s="1"/>
  <c r="F779" i="3"/>
  <c r="F780" i="3" s="1"/>
  <c r="F781" i="3" s="1"/>
  <c r="F783" i="3"/>
  <c r="F784" i="3" s="1"/>
  <c r="F787" i="3"/>
  <c r="F789" i="3"/>
  <c r="F790" i="3" s="1"/>
  <c r="F792" i="3"/>
  <c r="F794" i="3"/>
  <c r="F796" i="3"/>
  <c r="F800" i="3"/>
  <c r="F801" i="3" s="1"/>
  <c r="F803" i="3"/>
  <c r="F804" i="3" s="1"/>
  <c r="F805" i="3" s="1"/>
  <c r="F806" i="3" s="1"/>
  <c r="F808" i="3"/>
  <c r="F809" i="3" s="1"/>
  <c r="F811" i="3"/>
  <c r="F812" i="3" s="1"/>
  <c r="F813" i="3" s="1"/>
  <c r="F814" i="3" s="1"/>
  <c r="F816" i="3"/>
  <c r="F817" i="3" s="1"/>
  <c r="F818" i="3" s="1"/>
  <c r="F820" i="3"/>
  <c r="F827" i="3"/>
  <c r="F828" i="3" s="1"/>
  <c r="F829" i="3" s="1"/>
  <c r="F831" i="3"/>
  <c r="F833" i="3"/>
  <c r="F834" i="3" s="1"/>
  <c r="F835" i="3" s="1"/>
  <c r="F837" i="3"/>
  <c r="F838" i="3" s="1"/>
  <c r="F842" i="3"/>
  <c r="F843" i="3" s="1"/>
  <c r="F845" i="3"/>
  <c r="F848" i="3"/>
  <c r="F849" i="3" s="1"/>
  <c r="F850" i="3" s="1"/>
  <c r="F851" i="3" s="1"/>
  <c r="F852" i="3" s="1"/>
  <c r="F853" i="3" s="1"/>
  <c r="F855" i="3"/>
  <c r="F858" i="3"/>
  <c r="F859" i="3" s="1"/>
  <c r="F861" i="3"/>
  <c r="F863" i="3"/>
  <c r="F864" i="3" s="1"/>
  <c r="F866" i="3"/>
  <c r="F867" i="3" s="1"/>
  <c r="F869" i="3"/>
  <c r="F870" i="3" s="1"/>
  <c r="F871" i="3" s="1"/>
  <c r="F872" i="3" s="1"/>
  <c r="F874" i="3"/>
  <c r="F877" i="3"/>
  <c r="F878" i="3"/>
  <c r="F882" i="3"/>
  <c r="F883" i="3" s="1"/>
  <c r="F888" i="3"/>
  <c r="F889" i="3" s="1"/>
  <c r="F890" i="3" s="1"/>
  <c r="F891" i="3" s="1"/>
  <c r="F893" i="3"/>
  <c r="F895" i="3"/>
  <c r="F896" i="3"/>
  <c r="F898" i="3"/>
  <c r="F901" i="3"/>
  <c r="F902" i="3" s="1"/>
  <c r="F903" i="3" s="1"/>
  <c r="F904" i="3" s="1"/>
  <c r="F906" i="3"/>
  <c r="F908" i="3"/>
  <c r="F909" i="3" s="1"/>
  <c r="F910" i="3" s="1"/>
  <c r="F913" i="3"/>
  <c r="F914" i="3" s="1"/>
  <c r="F917" i="3"/>
  <c r="F918" i="3" s="1"/>
  <c r="F919" i="3" s="1"/>
  <c r="F921" i="3"/>
  <c r="F922" i="3" s="1"/>
  <c r="F923" i="3" s="1"/>
  <c r="F924" i="3" s="1"/>
  <c r="F925" i="3" s="1"/>
  <c r="F926" i="3" s="1"/>
  <c r="F927" i="3" s="1"/>
  <c r="F928" i="3" s="1"/>
  <c r="F929" i="3" s="1"/>
  <c r="F930" i="3" s="1"/>
  <c r="F931" i="3" s="1"/>
  <c r="F932" i="3" s="1"/>
  <c r="F933" i="3" s="1"/>
  <c r="F934" i="3" s="1"/>
  <c r="F936" i="3"/>
  <c r="F938" i="3"/>
  <c r="F939" i="3" s="1"/>
  <c r="F940" i="3" s="1"/>
  <c r="F943" i="3"/>
  <c r="F946" i="3"/>
  <c r="F947" i="3" s="1"/>
  <c r="F949" i="3"/>
  <c r="F950" i="3" s="1"/>
  <c r="F951" i="3" s="1"/>
  <c r="F952" i="3" s="1"/>
  <c r="F954" i="3"/>
  <c r="F957" i="3"/>
  <c r="F959" i="3"/>
  <c r="F961" i="3"/>
  <c r="F963" i="3"/>
  <c r="F965" i="3"/>
  <c r="F966" i="3" s="1"/>
  <c r="F975" i="3"/>
  <c r="F976" i="3" s="1"/>
  <c r="F978" i="3"/>
  <c r="F979" i="3" s="1"/>
  <c r="F981" i="3"/>
  <c r="F984" i="3"/>
  <c r="F985" i="3" s="1"/>
  <c r="F986" i="3" s="1"/>
  <c r="F987" i="3" s="1"/>
  <c r="F990" i="3"/>
  <c r="F995" i="3"/>
  <c r="F996" i="3" s="1"/>
  <c r="F998" i="3"/>
  <c r="F999" i="3" s="1"/>
  <c r="F1000" i="3" s="1"/>
  <c r="F1001" i="3" s="1"/>
  <c r="F1002" i="3" s="1"/>
  <c r="F1004" i="3"/>
  <c r="F1005" i="3" s="1"/>
  <c r="F1007" i="3"/>
  <c r="F1008" i="3" s="1"/>
  <c r="F1009" i="3" s="1"/>
  <c r="F1013" i="3"/>
  <c r="F1014" i="3" s="1"/>
  <c r="F1015" i="3" s="1"/>
  <c r="F1018" i="3"/>
  <c r="F1019" i="3" s="1"/>
  <c r="F1020" i="3" s="1"/>
  <c r="F1023" i="3"/>
  <c r="F1024" i="3" s="1"/>
  <c r="F1025" i="3" s="1"/>
  <c r="F1027" i="3"/>
  <c r="F1028" i="3" s="1"/>
  <c r="F1029" i="3" s="1"/>
  <c r="F1030" i="3" s="1"/>
  <c r="F1032" i="3"/>
  <c r="F1034" i="3"/>
  <c r="F1035" i="3" s="1"/>
  <c r="F1039" i="3"/>
  <c r="F1040" i="3" s="1"/>
  <c r="F1041" i="3" s="1"/>
  <c r="F1042" i="3" s="1"/>
  <c r="F1043" i="3" s="1"/>
  <c r="F1044" i="3" s="1"/>
  <c r="F1045" i="3" s="1"/>
  <c r="F1046" i="3" s="1"/>
  <c r="F1047" i="3" s="1"/>
  <c r="F1049" i="3"/>
  <c r="F1050" i="3" s="1"/>
  <c r="F1051" i="3" s="1"/>
  <c r="F1052" i="3" s="1"/>
  <c r="F1053" i="3" s="1"/>
  <c r="F1054" i="3" s="1"/>
  <c r="F1055" i="3" s="1"/>
  <c r="F1056" i="3" s="1"/>
  <c r="F1057" i="3" s="1"/>
  <c r="F1058" i="3" s="1"/>
  <c r="F1060" i="3"/>
  <c r="F1061" i="3" s="1"/>
  <c r="F1063" i="3"/>
  <c r="F1064" i="3" s="1"/>
  <c r="F1066" i="3"/>
  <c r="F1068" i="3"/>
  <c r="F1069" i="3"/>
  <c r="F1070" i="3" s="1"/>
  <c r="F1072" i="3"/>
  <c r="F1073" i="3" s="1"/>
  <c r="F1074" i="3" s="1"/>
  <c r="F1078" i="3"/>
  <c r="F1079" i="3" s="1"/>
  <c r="F1080" i="3" s="1"/>
  <c r="F1081" i="3" s="1"/>
  <c r="F1082" i="3" s="1"/>
  <c r="F108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A8F729-B5B4-42B4-BB48-AB40D5C7CEC0}" keepAlive="1" name="Requête - Churn_part" description="Connexion à la requête « Churn_part » dans le classeur." type="5" refreshedVersion="8" background="1" saveData="1">
    <dbPr connection="Provider=Microsoft.Mashup.OleDb.1;Data Source=$Workbook$;Location=Churn_part;Extended Properties=&quot;&quot;" command="SELECT * FROM [Churn_part]"/>
  </connection>
  <connection id="2" xr16:uid="{D7E483CB-5087-4125-88EE-C92363F9AD1A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76AB5B43-6137-45DA-9FEE-7A7E5448B9C4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4" xr16:uid="{0D22D8C0-B08E-479D-B961-1C7D8C8301B8}" keepAlive="1" name="Requête - Exemple de fichier (3)" description="Connexion à la requête « Exemple de fichier (3) » dans le classeur." type="5" refreshedVersion="0" background="1">
    <dbPr connection="Provider=Microsoft.Mashup.OleDb.1;Data Source=$Workbook$;Location=&quot;Exemple de fichier (3)&quot;;Extended Properties=&quot;&quot;" command="SELECT * FROM [Exemple de fichier (3)]"/>
  </connection>
  <connection id="5" xr16:uid="{B2EFCA74-2AA8-40F5-9D18-2950EC4239BC}" keepAlive="1" name="Requête - logs_ reseaux" description="Connexion à la requête « logs_ reseaux » dans le classeur." type="5" refreshedVersion="8" background="1" saveData="1">
    <dbPr connection="Provider=Microsoft.Mashup.OleDb.1;Data Source=$Workbook$;Location=&quot;logs_ reseaux&quot;;Extended Properties=&quot;&quot;" command="SELECT * FROM [logs_ reseaux]"/>
  </connection>
  <connection id="6" xr16:uid="{8BDDDA49-D714-4B01-8CB6-125C393CEC5D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7" xr16:uid="{69F5F7F0-FFBC-4151-A692-F5C05889A856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8" xr16:uid="{F337213E-BB3C-48A8-A9AD-94B97381F98B}" keepAlive="1" name="Requête - Paramètre3" description="Connexion à la requête « Paramètre3 » dans le classeur." type="5" refreshedVersion="0" background="1">
    <dbPr connection="Provider=Microsoft.Mashup.OleDb.1;Data Source=$Workbook$;Location=Paramètre3;Extended Properties=&quot;&quot;" command="SELECT * FROM [Paramètre3]"/>
  </connection>
  <connection id="9" xr16:uid="{4566B897-9C35-442D-BF88-B7BF435554B8}" keepAlive="1" name="Requête - Registre maintenance" description="Connexion à la requête « Registre maintenance » dans le classeur." type="5" refreshedVersion="8" background="1" saveData="1">
    <dbPr connection="Provider=Microsoft.Mashup.OleDb.1;Data Source=$Workbook$;Location=&quot;Registre maintenance&quot;;Extended Properties=&quot;&quot;" command="SELECT * FROM [Registre maintenance]"/>
  </connection>
  <connection id="10" xr16:uid="{68BCF279-3506-4AC5-AB6F-E0F4C4A6FD30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11" xr16:uid="{952B537D-C8D6-445C-8769-D135AB6AC57C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12" xr16:uid="{E5D4FD09-E769-4594-A9A2-1CAFDC781493}" keepAlive="1" name="Requête - Transformer le fichier (3)" description="Connexion à la requête « Transformer le fichier (3) » dans le classeur." type="5" refreshedVersion="0" background="1">
    <dbPr connection="Provider=Microsoft.Mashup.OleDb.1;Data Source=$Workbook$;Location=&quot;Transformer le fichier (3)&quot;;Extended Properties=&quot;&quot;" command="SELECT * FROM [Transformer le fichier (3)]"/>
  </connection>
  <connection id="13" xr16:uid="{09C8E527-259A-4952-B875-2EAD24BC7FD8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4" xr16:uid="{60AE8938-B34A-49AE-804F-049D7899DFE0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  <connection id="15" xr16:uid="{74AF455A-085C-4A76-A18B-712D7455176B}" keepAlive="1" name="Requête - Transformer l'exemple de fichier (3)" description="Connexion à la requête « Transformer l'exemple de fichier (3) » dans le classeur." type="5" refreshedVersion="0" background="1">
    <dbPr connection="Provider=Microsoft.Mashup.OleDb.1;Data Source=$Workbook$;Location=&quot;Transformer l'exemple de fichier (3)&quot;;Extended Properties=&quot;&quot;" command="SELECT * FROM [Transformer l'exemple de fichier (3)]"/>
  </connection>
  <connection id="16" xr16:uid="{DE5F7AF8-0BF9-425A-8B62-BEF6F6D7A430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7" xr16:uid="{98289FF8-3CA3-4C7E-A904-89CAE7750748}" name="WorksheetConnection_Kadea telco Excel.xlsx!logs__reseaux" type="102" refreshedVersion="8" minRefreshableVersion="5">
    <extLst>
      <ext xmlns:x15="http://schemas.microsoft.com/office/spreadsheetml/2010/11/main" uri="{DE250136-89BD-433C-8126-D09CA5730AF9}">
        <x15:connection id="logs__reseaux" autoDelete="1">
          <x15:rangePr sourceName="_xlcn.WorksheetConnection_KadeatelcoExcel.xlsxlogs__reseaux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logs__reseaux].[Statut_Resolution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<sst xmlns="http://schemas.openxmlformats.org/spreadsheetml/2006/main" count="7980" uniqueCount="1656">
  <si>
    <t>Source.Name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</si>
  <si>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</si>
  <si>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</si>
  <si>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</si>
  <si>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</si>
  <si>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</si>
  <si>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</si>
  <si>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</si>
  <si>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CLI-01147</t>
  </si>
  <si>
    <t>Ituri</t>
  </si>
  <si>
    <t>Premium 5G 150Go</t>
  </si>
  <si>
    <t>CLI-00894</t>
  </si>
  <si>
    <t>Tshuapa</t>
  </si>
  <si>
    <t>Pro Monde</t>
  </si>
  <si>
    <t>CLI-00865</t>
  </si>
  <si>
    <t>Mongala</t>
  </si>
  <si>
    <t>CLI-01325</t>
  </si>
  <si>
    <t>Haut-Lomami</t>
  </si>
  <si>
    <t>Bloqué 5Go</t>
  </si>
  <si>
    <t>CLI-01855</t>
  </si>
  <si>
    <t>Sud-Kivu</t>
  </si>
  <si>
    <t>Illimité 50Go</t>
  </si>
  <si>
    <t>CLI-00076</t>
  </si>
  <si>
    <t>Haut-Katanga</t>
  </si>
  <si>
    <t>CLI-00414</t>
  </si>
  <si>
    <t>Bas-Uele</t>
  </si>
  <si>
    <t>CLI-00327</t>
  </si>
  <si>
    <t>CLI-00559</t>
  </si>
  <si>
    <t>Kasai</t>
  </si>
  <si>
    <t>CLI-00280</t>
  </si>
  <si>
    <t>Sud-Ubangi</t>
  </si>
  <si>
    <t>CLI-00060</t>
  </si>
  <si>
    <t>Kasai-Central</t>
  </si>
  <si>
    <t>CLI-00530</t>
  </si>
  <si>
    <t>Sankuru</t>
  </si>
  <si>
    <t>CLI-01618</t>
  </si>
  <si>
    <t>Tanganyika</t>
  </si>
  <si>
    <t>CLI-01646</t>
  </si>
  <si>
    <t>CLI-00569</t>
  </si>
  <si>
    <t>Kwango</t>
  </si>
  <si>
    <t>CLI-01349</t>
  </si>
  <si>
    <t>CLI-01128</t>
  </si>
  <si>
    <t>CLI-00361</t>
  </si>
  <si>
    <t>Mai-Ndombe</t>
  </si>
  <si>
    <t>CLI-01320</t>
  </si>
  <si>
    <t>CLI-01746</t>
  </si>
  <si>
    <t>CLI-00087</t>
  </si>
  <si>
    <t>CLI-01974</t>
  </si>
  <si>
    <t>CLI-01480</t>
  </si>
  <si>
    <t>CLI-00996</t>
  </si>
  <si>
    <t>Kwilu</t>
  </si>
  <si>
    <t>CLI-01603</t>
  </si>
  <si>
    <t>CLI-00041</t>
  </si>
  <si>
    <t>CLI-00114</t>
  </si>
  <si>
    <t>CLI-01761</t>
  </si>
  <si>
    <t>CLI-01837</t>
  </si>
  <si>
    <t>Kasai-Oriental</t>
  </si>
  <si>
    <t>CLI-00172</t>
  </si>
  <si>
    <t>CLI-00643</t>
  </si>
  <si>
    <t>Equateur</t>
  </si>
  <si>
    <t>CLI-01233</t>
  </si>
  <si>
    <t>Kongo-Central</t>
  </si>
  <si>
    <t>CLI-00611</t>
  </si>
  <si>
    <t>Kinshasa</t>
  </si>
  <si>
    <t>CLI-01776</t>
  </si>
  <si>
    <t>CLI-00131</t>
  </si>
  <si>
    <t>Lomami</t>
  </si>
  <si>
    <t>CLI-01845</t>
  </si>
  <si>
    <t>CLI-01957</t>
  </si>
  <si>
    <t>CLI-00834</t>
  </si>
  <si>
    <t>CLI-01972</t>
  </si>
  <si>
    <t>CLI-00745</t>
  </si>
  <si>
    <t>Tshopo</t>
  </si>
  <si>
    <t>CLI-01376</t>
  </si>
  <si>
    <t>CLI-01347</t>
  </si>
  <si>
    <t>CLI-01814</t>
  </si>
  <si>
    <t>CLI-00185</t>
  </si>
  <si>
    <t>Maniema</t>
  </si>
  <si>
    <t>CLI-00813</t>
  </si>
  <si>
    <t>CLI-01932</t>
  </si>
  <si>
    <t>CLI-01720</t>
  </si>
  <si>
    <t>CLI-01484</t>
  </si>
  <si>
    <t>CLI-01726</t>
  </si>
  <si>
    <t>CLI-00288</t>
  </si>
  <si>
    <t>CLI-00484</t>
  </si>
  <si>
    <t>CLI-00230</t>
  </si>
  <si>
    <t>CLI-01170</t>
  </si>
  <si>
    <t>Nord-Ubangi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</si>
  <si>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</si>
  <si>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</si>
  <si>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</si>
  <si>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</si>
  <si>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</si>
  <si>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</si>
  <si>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</si>
  <si>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</si>
  <si>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</si>
  <si>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</si>
  <si>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CLI-01076</t>
  </si>
  <si>
    <t>CLI-00516</t>
  </si>
  <si>
    <t>CLI-01017</t>
  </si>
  <si>
    <t>CLI-01812</t>
  </si>
  <si>
    <t>CLI-01964</t>
  </si>
  <si>
    <t>CLI-00488</t>
  </si>
  <si>
    <t>CLI-01229</t>
  </si>
  <si>
    <t>CLI-00251</t>
  </si>
  <si>
    <t>CLI-01584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</si>
  <si>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</si>
  <si>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</si>
  <si>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</si>
  <si>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</si>
  <si>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</si>
  <si>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</si>
  <si>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</si>
  <si>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</si>
  <si>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</si>
  <si>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</si>
  <si>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</si>
  <si>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</si>
  <si>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</si>
  <si>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</si>
  <si>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</si>
  <si>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</si>
  <si>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</si>
  <si>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</si>
  <si>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Haut-Uele</t>
  </si>
  <si>
    <t>CLI-00563</t>
  </si>
  <si>
    <t>CLI-00901</t>
  </si>
  <si>
    <t>CLI-00837</t>
  </si>
  <si>
    <t>Nord-Kivu</t>
  </si>
  <si>
    <t>CLI-00521</t>
  </si>
  <si>
    <t>CLI-01768</t>
  </si>
  <si>
    <t>CLI-01208</t>
  </si>
  <si>
    <t>CLI-00115</t>
  </si>
  <si>
    <t>CLI-01005</t>
  </si>
  <si>
    <t>Lualaba</t>
  </si>
  <si>
    <t>CLI-01093</t>
  </si>
  <si>
    <t>CLI-00768</t>
  </si>
  <si>
    <t>CLI-01433</t>
  </si>
  <si>
    <t>CLI-00232</t>
  </si>
  <si>
    <t>CLI-00649</t>
  </si>
  <si>
    <t>CLI-01118</t>
  </si>
  <si>
    <t>CLI-00868</t>
  </si>
  <si>
    <t>CLI-00973</t>
  </si>
  <si>
    <t>CLI-01399</t>
  </si>
  <si>
    <t>CLI-00505</t>
  </si>
  <si>
    <t>CLI-01986</t>
  </si>
  <si>
    <t>CLI-01802</t>
  </si>
  <si>
    <t>CLI-01607</t>
  </si>
  <si>
    <t>CLI-00297</t>
  </si>
  <si>
    <t>CLI-00744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</si>
  <si>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</si>
  <si>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</si>
  <si>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</si>
  <si>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</si>
  <si>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</si>
  <si>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</si>
  <si>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</si>
  <si>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</si>
  <si>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</si>
  <si>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</si>
  <si>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</si>
  <si>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</si>
  <si>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</si>
  <si>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</si>
  <si>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</si>
  <si>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</si>
  <si>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</si>
  <si>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</si>
  <si>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</si>
  <si>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</si>
  <si>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CLI-00788</t>
  </si>
  <si>
    <t>CLI-00634</t>
  </si>
  <si>
    <t>CLI-01309</t>
  </si>
  <si>
    <t>CLI-01435</t>
  </si>
  <si>
    <t>CLI-01888</t>
  </si>
  <si>
    <t>CLI-01850</t>
  </si>
  <si>
    <t>CLI-01664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</si>
  <si>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</si>
  <si>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</si>
  <si>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</si>
  <si>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</si>
  <si>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</si>
  <si>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</si>
  <si>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</si>
  <si>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</si>
  <si>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</si>
  <si>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CLI-00805</t>
  </si>
  <si>
    <t>CLI-00524</t>
  </si>
  <si>
    <t>CLI-00617</t>
  </si>
  <si>
    <t>CLI-01933</t>
  </si>
  <si>
    <t>CLI-01685</t>
  </si>
  <si>
    <t>CLI-01550</t>
  </si>
  <si>
    <t>CLI-00483</t>
  </si>
  <si>
    <t>CLI-00610</t>
  </si>
  <si>
    <t>CLI-00431</t>
  </si>
  <si>
    <t>CLI-01973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</si>
  <si>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</si>
  <si>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</si>
  <si>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</si>
  <si>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</si>
  <si>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</si>
  <si>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</si>
  <si>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</si>
  <si>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</si>
  <si>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</si>
  <si>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</si>
  <si>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</si>
  <si>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</si>
  <si>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</si>
  <si>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</si>
  <si>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</si>
  <si>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</si>
  <si>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CLI-01597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</si>
  <si>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</si>
  <si>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</si>
  <si>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</si>
  <si>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</si>
  <si>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</si>
  <si>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</si>
  <si>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</si>
  <si>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</si>
  <si>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</si>
  <si>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</si>
  <si>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</si>
  <si>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CLI-01689</t>
  </si>
  <si>
    <t>CLI-01839</t>
  </si>
  <si>
    <t>CLI-01431</t>
  </si>
  <si>
    <t>CLI-00535</t>
  </si>
  <si>
    <t>CLI-01037</t>
  </si>
  <si>
    <t>CLI-00136</t>
  </si>
  <si>
    <t>CLI-00721</t>
  </si>
  <si>
    <t>CLI-00862</t>
  </si>
  <si>
    <t>CLI-01234</t>
  </si>
  <si>
    <t>CLI-01494</t>
  </si>
  <si>
    <t>CLI-01666</t>
  </si>
  <si>
    <t>CLI-01122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</si>
  <si>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</si>
  <si>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</si>
  <si>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</si>
  <si>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</si>
  <si>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</si>
  <si>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</si>
  <si>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</si>
  <si>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</si>
  <si>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</si>
  <si>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</si>
  <si>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</si>
  <si>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</si>
  <si>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</si>
  <si>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</si>
  <si>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</si>
  <si>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</si>
  <si>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</si>
  <si>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</si>
  <si>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</si>
  <si>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CLI-00626</t>
  </si>
  <si>
    <t>CLI-01970</t>
  </si>
  <si>
    <t>CLI-01180</t>
  </si>
  <si>
    <t>CLI-00169</t>
  </si>
  <si>
    <t>CLI-00227</t>
  </si>
  <si>
    <t>CLI-00324</t>
  </si>
  <si>
    <t>CLI-00512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</si>
  <si>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</si>
  <si>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</si>
  <si>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</si>
  <si>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</si>
  <si>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</si>
  <si>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</si>
  <si>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</si>
  <si>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</si>
  <si>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</si>
  <si>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</si>
  <si>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</si>
  <si>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</si>
  <si>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</si>
  <si>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</si>
  <si>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</si>
  <si>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</si>
  <si>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</si>
  <si>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</si>
  <si>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CLI-00356</t>
  </si>
  <si>
    <t>CLI-01408</t>
  </si>
  <si>
    <t>CLI-01215</t>
  </si>
  <si>
    <t>CLI-01694</t>
  </si>
  <si>
    <t>CLI-00671</t>
  </si>
  <si>
    <t>CLI-01638</t>
  </si>
  <si>
    <t>CLI-00578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</si>
  <si>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</si>
  <si>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</si>
  <si>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</si>
  <si>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</si>
  <si>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</si>
  <si>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</si>
  <si>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</si>
  <si>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</si>
  <si>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</si>
  <si>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</si>
  <si>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</si>
  <si>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</si>
  <si>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</si>
  <si>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</si>
  <si>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</si>
  <si>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</si>
  <si>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</si>
  <si>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</si>
  <si>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</si>
  <si>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</si>
  <si>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</si>
  <si>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</si>
  <si>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</si>
  <si>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</si>
  <si>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</si>
  <si>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</si>
  <si>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CLI-01230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</si>
  <si>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</si>
  <si>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</si>
  <si>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</si>
  <si>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</si>
  <si>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</si>
  <si>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</si>
  <si>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</si>
  <si>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</si>
  <si>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</si>
  <si>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</si>
  <si>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CLI-00892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</si>
  <si>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</si>
  <si>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</si>
  <si>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</si>
  <si>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</si>
  <si>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</si>
  <si>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</si>
  <si>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</si>
  <si>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</si>
  <si>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</si>
  <si>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</si>
  <si>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CLI-01835</t>
  </si>
  <si>
    <t>CLI-01602</t>
  </si>
  <si>
    <t>CLI-00546</t>
  </si>
  <si>
    <t>CLI-00590</t>
  </si>
  <si>
    <t>CLI-01529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</si>
  <si>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</si>
  <si>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</si>
  <si>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</si>
  <si>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</si>
  <si>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</si>
  <si>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</si>
  <si>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</si>
  <si>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</si>
  <si>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</si>
  <si>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</si>
  <si>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CLI-01387</t>
  </si>
  <si>
    <t>CLI-00388</t>
  </si>
  <si>
    <t>CLI-00857</t>
  </si>
  <si>
    <t>CLI-00370</t>
  </si>
  <si>
    <t>CLI-01938</t>
  </si>
  <si>
    <t>CLI-01623</t>
  </si>
  <si>
    <t>CLI-00299</t>
  </si>
  <si>
    <t>CLI-00059</t>
  </si>
  <si>
    <t>CLI-00595</t>
  </si>
  <si>
    <t>CLI-01729</t>
  </si>
  <si>
    <t>CLI-01844</t>
  </si>
  <si>
    <t>CLI-01877</t>
  </si>
  <si>
    <t>CLI-00924</t>
  </si>
  <si>
    <t>CLI-00509</t>
  </si>
  <si>
    <t>CLI-00758</t>
  </si>
  <si>
    <t>CLI-01194</t>
  </si>
  <si>
    <t>CLI-01402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</si>
  <si>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</si>
  <si>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</si>
  <si>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</si>
  <si>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</si>
  <si>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</si>
  <si>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</si>
  <si>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</si>
  <si>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</si>
  <si>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</si>
  <si>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</si>
  <si>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</si>
  <si>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</si>
  <si>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</si>
  <si>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</si>
  <si>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</si>
  <si>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</si>
  <si>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</si>
  <si>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</si>
  <si>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CLI-00150</t>
  </si>
  <si>
    <t>CLI-00196</t>
  </si>
  <si>
    <t>CLI-01141</t>
  </si>
  <si>
    <t>CLI-00121</t>
  </si>
  <si>
    <t>CLI-01794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</si>
  <si>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</si>
  <si>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</si>
  <si>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</si>
  <si>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</si>
  <si>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</si>
  <si>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</si>
  <si>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</si>
  <si>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CLI-01454</t>
  </si>
  <si>
    <t>CLI-01920</t>
  </si>
  <si>
    <t>CLI-00094</t>
  </si>
  <si>
    <t>CLI-00011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</si>
  <si>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</si>
  <si>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</si>
  <si>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</si>
  <si>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</si>
  <si>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</si>
  <si>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</si>
  <si>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</si>
  <si>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</si>
  <si>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</si>
  <si>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</si>
  <si>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</si>
  <si>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</si>
  <si>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</si>
  <si>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</si>
  <si>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CLI-00348</t>
  </si>
  <si>
    <t>CLI-01032</t>
  </si>
  <si>
    <t>CLI-01010</t>
  </si>
  <si>
    <t>CLI-00695</t>
  </si>
  <si>
    <t>CLI-00959</t>
  </si>
  <si>
    <t>CLI-01626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</si>
  <si>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</si>
  <si>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</si>
  <si>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</si>
  <si>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</si>
  <si>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</si>
  <si>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</si>
  <si>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</si>
  <si>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</si>
  <si>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</si>
  <si>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</si>
  <si>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</si>
  <si>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</si>
  <si>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</si>
  <si>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CLI-01532</t>
  </si>
  <si>
    <t>CLI-00739</t>
  </si>
  <si>
    <t>CLI-00881</t>
  </si>
  <si>
    <t>CLI-01687</t>
  </si>
  <si>
    <t>CLI-00540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</si>
  <si>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</si>
  <si>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</si>
  <si>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</si>
  <si>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</si>
  <si>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</si>
  <si>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</si>
  <si>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</si>
  <si>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</si>
  <si>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</si>
  <si>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</si>
  <si>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</si>
  <si>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</si>
  <si>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</si>
  <si>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</si>
  <si>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</si>
  <si>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</si>
  <si>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</si>
  <si>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</si>
  <si>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</si>
  <si>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</si>
  <si>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</si>
  <si>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</si>
  <si>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</si>
  <si>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</si>
  <si>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</si>
  <si>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</si>
  <si>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CLI-01446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</si>
  <si>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</si>
  <si>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</si>
  <si>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</si>
  <si>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</si>
  <si>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</si>
  <si>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</si>
  <si>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</si>
  <si>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</si>
  <si>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</si>
  <si>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</si>
  <si>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</si>
  <si>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</si>
  <si>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CLI-00231</t>
  </si>
  <si>
    <t>CLI-01475</t>
  </si>
  <si>
    <t>CLI-00304</t>
  </si>
  <si>
    <t>CLI-00254</t>
  </si>
  <si>
    <t>CLI-00716</t>
  </si>
  <si>
    <t>CLI-00192</t>
  </si>
  <si>
    <t>CLI-00418</t>
  </si>
  <si>
    <t>CLI-00582</t>
  </si>
  <si>
    <t>CLI-01682</t>
  </si>
  <si>
    <t>CLI-00345</t>
  </si>
  <si>
    <t>CLI-01536</t>
  </si>
  <si>
    <t>CLI-01042</t>
  </si>
  <si>
    <t>CLI-01992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</si>
  <si>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</si>
  <si>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</si>
  <si>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</si>
  <si>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</si>
  <si>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</si>
  <si>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</si>
  <si>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</si>
  <si>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</si>
  <si>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</si>
  <si>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</si>
  <si>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</si>
  <si>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</si>
  <si>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</si>
  <si>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</si>
  <si>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</si>
  <si>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</si>
  <si>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</si>
  <si>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CLI-00583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</si>
  <si>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</si>
  <si>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</si>
  <si>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</si>
  <si>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</si>
  <si>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</si>
  <si>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</si>
  <si>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</si>
  <si>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</si>
  <si>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</si>
  <si>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</si>
  <si>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CLI-00167</t>
  </si>
  <si>
    <t>CLI-00943</t>
  </si>
  <si>
    <t>CLI-01450</t>
  </si>
  <si>
    <t>CLI-01351</t>
  </si>
  <si>
    <t>CLI-00983</t>
  </si>
  <si>
    <t>CLI-01709</t>
  </si>
  <si>
    <t>CLI-01782</t>
  </si>
  <si>
    <t>CLI-00552</t>
  </si>
  <si>
    <t>CLI-01766</t>
  </si>
  <si>
    <t>CLI-01348</t>
  </si>
  <si>
    <t>CLI-00012</t>
  </si>
  <si>
    <t>CLI-01926</t>
  </si>
  <si>
    <t>CLI-00090</t>
  </si>
  <si>
    <t>CLI-01344</t>
  </si>
  <si>
    <t>CLI-01275</t>
  </si>
  <si>
    <t>CLI-00928</t>
  </si>
  <si>
    <t>CLI-00666</t>
  </si>
  <si>
    <t>CLI-01499</t>
  </si>
  <si>
    <t>CLI-01166</t>
  </si>
  <si>
    <t>CLI-00265</t>
  </si>
  <si>
    <t>CLI-00433</t>
  </si>
  <si>
    <t>CLI-00100</t>
  </si>
  <si>
    <t>CLI-01319</t>
  </si>
  <si>
    <t>CLI-01598</t>
  </si>
  <si>
    <t>CLI-00662</t>
  </si>
  <si>
    <t>CLI-01979</t>
  </si>
  <si>
    <t>CLI-00145</t>
  </si>
  <si>
    <t>CLI-01121</t>
  </si>
  <si>
    <t>CLI-01804</t>
  </si>
  <si>
    <t>CLI-00782</t>
  </si>
  <si>
    <t>CLI-00190</t>
  </si>
  <si>
    <t>CLI-00817</t>
  </si>
  <si>
    <t>CLI-00523</t>
  </si>
  <si>
    <t>CLI-00365</t>
  </si>
  <si>
    <t>CLI-00492</t>
  </si>
  <si>
    <t>CLI-01485</t>
  </si>
  <si>
    <t>CLI-01719</t>
  </si>
  <si>
    <t>CLI-01739</t>
  </si>
  <si>
    <t>CLI-00427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</si>
  <si>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</si>
  <si>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</si>
  <si>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</si>
  <si>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</si>
  <si>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</si>
  <si>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</si>
  <si>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</si>
  <si>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</si>
  <si>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</si>
  <si>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</si>
  <si>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</si>
  <si>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</si>
  <si>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</si>
  <si>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</si>
  <si>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</si>
  <si>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</si>
  <si>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</si>
  <si>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</si>
  <si>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</si>
  <si>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</si>
  <si>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</si>
  <si>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</si>
  <si>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CLI-00913</t>
  </si>
  <si>
    <t>CLI-00795</t>
  </si>
  <si>
    <t>CLI-00976</t>
  </si>
  <si>
    <t>CLI-00550</t>
  </si>
  <si>
    <t>CLI-01544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</si>
  <si>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</si>
  <si>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</si>
  <si>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</si>
  <si>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</si>
  <si>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</si>
  <si>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</si>
  <si>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</si>
  <si>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</si>
  <si>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</si>
  <si>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</si>
  <si>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</si>
  <si>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</si>
  <si>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</si>
  <si>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</si>
  <si>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</si>
  <si>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</si>
  <si>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</si>
  <si>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</si>
  <si>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</si>
  <si>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</si>
  <si>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</si>
  <si>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</si>
  <si>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</si>
  <si>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</si>
  <si>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</si>
  <si>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</si>
  <si>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</si>
  <si>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</si>
  <si>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</si>
  <si>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</si>
  <si>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</si>
  <si>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</si>
  <si>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</si>
  <si>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</si>
  <si>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</si>
  <si>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</si>
  <si>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</si>
  <si>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</si>
  <si>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</si>
  <si>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</si>
  <si>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</si>
  <si>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</si>
  <si>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</si>
  <si>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</si>
  <si>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</si>
  <si>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</si>
  <si>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</si>
  <si>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</si>
  <si>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</si>
  <si>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</si>
  <si>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CLI-01530</t>
  </si>
  <si>
    <t>CLI-00952</t>
  </si>
  <si>
    <t>CLI-01354</t>
  </si>
  <si>
    <t>CLI-01410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</si>
  <si>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</si>
  <si>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</si>
  <si>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</si>
  <si>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</si>
  <si>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</si>
  <si>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</si>
  <si>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</si>
  <si>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</si>
  <si>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</si>
  <si>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</si>
  <si>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</si>
  <si>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</si>
  <si>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</si>
  <si>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</si>
  <si>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</si>
  <si>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</si>
  <si>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</si>
  <si>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</si>
  <si>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</si>
  <si>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</si>
  <si>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</si>
  <si>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</si>
  <si>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</si>
  <si>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</si>
  <si>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</si>
  <si>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</si>
  <si>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</si>
  <si>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CLI-00380</t>
  </si>
  <si>
    <t>CLI-00161</t>
  </si>
  <si>
    <t>CLI-01238</t>
  </si>
  <si>
    <t>CLI-00532</t>
  </si>
  <si>
    <t>CLI-01520</t>
  </si>
  <si>
    <t>CLI-00889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</si>
  <si>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</si>
  <si>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</si>
  <si>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</si>
  <si>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</si>
  <si>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</si>
  <si>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</si>
  <si>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</si>
  <si>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</si>
  <si>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</si>
  <si>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</si>
  <si>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</si>
  <si>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</si>
  <si>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</si>
  <si>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</si>
  <si>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</si>
  <si>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</si>
  <si>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</si>
  <si>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</si>
  <si>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</si>
  <si>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</si>
  <si>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CLI-00180</t>
  </si>
  <si>
    <t>CLI-00257</t>
  </si>
  <si>
    <t>CLI-00277</t>
  </si>
  <si>
    <t>CLI-01714</t>
  </si>
  <si>
    <t>CLI-01701</t>
  </si>
  <si>
    <t>CLI-01949</t>
  </si>
  <si>
    <t>CLI-00033</t>
  </si>
  <si>
    <t>CLI-00386</t>
  </si>
  <si>
    <t>CLI-00055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</si>
  <si>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</si>
  <si>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</si>
  <si>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</si>
  <si>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</si>
  <si>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</si>
  <si>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</si>
  <si>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</si>
  <si>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</si>
  <si>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</si>
  <si>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</si>
  <si>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</si>
  <si>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</si>
  <si>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</si>
  <si>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CLI-00971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</si>
  <si>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</si>
  <si>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</si>
  <si>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</si>
  <si>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</si>
  <si>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</si>
  <si>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</si>
  <si>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</si>
  <si>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</si>
  <si>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</si>
  <si>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</si>
  <si>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</si>
  <si>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CLI-00497</t>
  </si>
  <si>
    <t>CLI-00413</t>
  </si>
  <si>
    <t>CLI-00604</t>
  </si>
  <si>
    <t>CLI-01167</t>
  </si>
  <si>
    <t>CLI-00803</t>
  </si>
  <si>
    <t>CLI-00105</t>
  </si>
  <si>
    <t>CLI-00684</t>
  </si>
  <si>
    <t>CLI-01851</t>
  </si>
  <si>
    <t>CLI-00211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</si>
  <si>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</si>
  <si>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</si>
  <si>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</si>
  <si>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</si>
  <si>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</si>
  <si>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</si>
  <si>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</si>
  <si>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CLI-01797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</si>
  <si>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</si>
  <si>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</si>
  <si>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</si>
  <si>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</si>
  <si>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</si>
  <si>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</si>
  <si>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</si>
  <si>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</si>
  <si>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CLI-00475</t>
  </si>
  <si>
    <t>CLI-00125</t>
  </si>
  <si>
    <t>CLI-01082</t>
  </si>
  <si>
    <t>CLI-00039</t>
  </si>
  <si>
    <t>CLI-01832</t>
  </si>
  <si>
    <t>CLI-01181</t>
  </si>
  <si>
    <t>CLI-01589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</si>
  <si>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</si>
  <si>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</si>
  <si>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</si>
  <si>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</si>
  <si>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</si>
  <si>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</si>
  <si>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</si>
  <si>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</si>
  <si>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CLI-00919</t>
  </si>
  <si>
    <t>CLI-01568</t>
  </si>
  <si>
    <t>CLI-01479</t>
  </si>
  <si>
    <t>CLI-00331</t>
  </si>
  <si>
    <t>CLI-01697</t>
  </si>
  <si>
    <t>CLI-00394</t>
  </si>
  <si>
    <t>CLI-00962</t>
  </si>
  <si>
    <t>CLI-00705</t>
  </si>
  <si>
    <t>CLI-00898</t>
  </si>
  <si>
    <t>CLI-00476</t>
  </si>
  <si>
    <t>CLI-01040</t>
  </si>
  <si>
    <t>CLI-00450</t>
  </si>
  <si>
    <t>CLI-01204</t>
  </si>
  <si>
    <t>CLI-01830</t>
  </si>
  <si>
    <t>CLI-01488</t>
  </si>
  <si>
    <t>CLI-00960</t>
  </si>
  <si>
    <t>CLI-01463</t>
  </si>
  <si>
    <t>CLI-00601</t>
  </si>
  <si>
    <t>CLI-00800</t>
  </si>
  <si>
    <t>Date_Heure_Panne</t>
  </si>
  <si>
    <t>Cell_ID</t>
  </si>
  <si>
    <t>Duree_Panne_Min</t>
  </si>
  <si>
    <t>Statut_Resolution</t>
  </si>
  <si>
    <t>Logs_Reseau_Part_01.xlsx</t>
  </si>
  <si>
    <t>ANT-0465</t>
  </si>
  <si>
    <t>Résolu</t>
  </si>
  <si>
    <t>ANT-0004</t>
  </si>
  <si>
    <t>ANT-0977</t>
  </si>
  <si>
    <t>Non Résolu</t>
  </si>
  <si>
    <t>ANT-0740</t>
  </si>
  <si>
    <t>En Cours</t>
  </si>
  <si>
    <t>ANT-0897</t>
  </si>
  <si>
    <t>ANT-0737</t>
  </si>
  <si>
    <t>ANT-0270</t>
  </si>
  <si>
    <t>ANT-0996</t>
  </si>
  <si>
    <t>ANT-0513</t>
  </si>
  <si>
    <t>ANT-0781</t>
  </si>
  <si>
    <t>ANT-0183</t>
  </si>
  <si>
    <t>ANT-0520</t>
  </si>
  <si>
    <t>ANT-0935</t>
  </si>
  <si>
    <t>ANT-0109</t>
  </si>
  <si>
    <t>ANT-0892</t>
  </si>
  <si>
    <t>ANT-0641</t>
  </si>
  <si>
    <t>ANT-0306</t>
  </si>
  <si>
    <t>ANT-0862</t>
  </si>
  <si>
    <t>ANT-0655</t>
  </si>
  <si>
    <t>ANT-0624</t>
  </si>
  <si>
    <t>ANT-0204</t>
  </si>
  <si>
    <t>ANT-0157</t>
  </si>
  <si>
    <t>ANT-0383</t>
  </si>
  <si>
    <t>ANT-0166</t>
  </si>
  <si>
    <t>ANT-0553</t>
  </si>
  <si>
    <t>ANT-0798</t>
  </si>
  <si>
    <t>ANT-0945</t>
  </si>
  <si>
    <t>ANT-0544</t>
  </si>
  <si>
    <t>ANT-0941</t>
  </si>
  <si>
    <t>ANT-0001</t>
  </si>
  <si>
    <t>ANT-0614</t>
  </si>
  <si>
    <t>ANT-0332</t>
  </si>
  <si>
    <t>ANT-0501</t>
  </si>
  <si>
    <t>ANT-0020</t>
  </si>
  <si>
    <t>ANT-0115</t>
  </si>
  <si>
    <t>ANT-0952</t>
  </si>
  <si>
    <t>ANT-0372</t>
  </si>
  <si>
    <t>ANT-0900</t>
  </si>
  <si>
    <t>ANT-0852</t>
  </si>
  <si>
    <t>ANT-0315</t>
  </si>
  <si>
    <t>ANT-0246</t>
  </si>
  <si>
    <t>ANT-0060</t>
  </si>
  <si>
    <t>ANT-0247</t>
  </si>
  <si>
    <t>ANT-0581</t>
  </si>
  <si>
    <t>ANT-0970</t>
  </si>
  <si>
    <t>Logs_Reseau_Part_02.xlsx</t>
  </si>
  <si>
    <t>ANT-0650</t>
  </si>
  <si>
    <t>ANT-0874</t>
  </si>
  <si>
    <t>ANT-0271</t>
  </si>
  <si>
    <t>ANT-0518</t>
  </si>
  <si>
    <t>ANT-0258</t>
  </si>
  <si>
    <t>ANT-0928</t>
  </si>
  <si>
    <t>ANT-0930</t>
  </si>
  <si>
    <t>ANT-0867</t>
  </si>
  <si>
    <t>ANT-0053</t>
  </si>
  <si>
    <t>ANT-0095</t>
  </si>
  <si>
    <t>ANT-0434</t>
  </si>
  <si>
    <t>ANT-0850</t>
  </si>
  <si>
    <t>ANT-0284</t>
  </si>
  <si>
    <t>ANT-0046</t>
  </si>
  <si>
    <t>ANT-0342</t>
  </si>
  <si>
    <t>ANT-0790</t>
  </si>
  <si>
    <t>ANT-0134</t>
  </si>
  <si>
    <t>ANT-0653</t>
  </si>
  <si>
    <t>ANT-0269</t>
  </si>
  <si>
    <t>ANT-0760</t>
  </si>
  <si>
    <t>ANT-0453</t>
  </si>
  <si>
    <t>ANT-0565</t>
  </si>
  <si>
    <t>ANT-0723</t>
  </si>
  <si>
    <t>ANT-0438</t>
  </si>
  <si>
    <t>ANT-0575</t>
  </si>
  <si>
    <t>ANT-0010</t>
  </si>
  <si>
    <t>ANT-0078</t>
  </si>
  <si>
    <t>ANT-0968</t>
  </si>
  <si>
    <t>ANT-0905</t>
  </si>
  <si>
    <t>ANT-0708</t>
  </si>
  <si>
    <t>ANT-0926</t>
  </si>
  <si>
    <t>ANT-0153</t>
  </si>
  <si>
    <t>ANT-0559</t>
  </si>
  <si>
    <t>ANT-0037</t>
  </si>
  <si>
    <t>ANT-0855</t>
  </si>
  <si>
    <t>ANT-0379</t>
  </si>
  <si>
    <t>ANT-0597</t>
  </si>
  <si>
    <t>ANT-0566</t>
  </si>
  <si>
    <t>ANT-0152</t>
  </si>
  <si>
    <t>ANT-0441</t>
  </si>
  <si>
    <t>ANT-0131</t>
  </si>
  <si>
    <t>ANT-0043</t>
  </si>
  <si>
    <t>ANT-0316</t>
  </si>
  <si>
    <t>Logs_Reseau_Part_03.xlsx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</si>
  <si>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</si>
  <si>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</si>
  <si>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</si>
  <si>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</si>
  <si>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</si>
  <si>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</si>
  <si>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</si>
  <si>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</si>
  <si>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</si>
  <si>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</si>
  <si>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</si>
  <si>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</si>
  <si>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</si>
  <si>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</si>
  <si>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</si>
  <si>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</si>
  <si>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</si>
  <si>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ANT-0163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</si>
  <si>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</si>
  <si>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</si>
  <si>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</si>
  <si>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</si>
  <si>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</si>
  <si>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</si>
  <si>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</si>
  <si>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</si>
  <si>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</si>
  <si>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</si>
  <si>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</si>
  <si>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</si>
  <si>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</si>
  <si>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</si>
  <si>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</si>
  <si>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</si>
  <si>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ANT-0080</t>
  </si>
  <si>
    <t>ANT-0731</t>
  </si>
  <si>
    <t>ANT-0293</t>
  </si>
  <si>
    <t>Logs_Reseau_Part_04.xlsx</t>
  </si>
  <si>
    <t>ANT-0287</t>
  </si>
  <si>
    <t>ANT-0902</t>
  </si>
  <si>
    <t>ANT-0611</t>
  </si>
  <si>
    <t>ANT-0719</t>
  </si>
  <si>
    <t>ANT-0283</t>
  </si>
  <si>
    <t>ANT-0570</t>
  </si>
  <si>
    <t>ANT-0011</t>
  </si>
  <si>
    <t>ANT-0530</t>
  </si>
  <si>
    <t>ANT-0971</t>
  </si>
  <si>
    <t>ANT-0196</t>
  </si>
  <si>
    <t>ANT-0088</t>
  </si>
  <si>
    <t>ANT-0248</t>
  </si>
  <si>
    <t>ANT-0738</t>
  </si>
  <si>
    <t>ANT-0417</t>
  </si>
  <si>
    <t>ANT-0569</t>
  </si>
  <si>
    <t>ANT-0777</t>
  </si>
  <si>
    <t>ANT-0488</t>
  </si>
  <si>
    <t>ANT-0662</t>
  </si>
  <si>
    <t>ANT-0729</t>
  </si>
  <si>
    <t>ANT-0503</t>
  </si>
  <si>
    <t>ANT-0459</t>
  </si>
  <si>
    <t>ANT-0812</t>
  </si>
  <si>
    <t>ANT-0018</t>
  </si>
  <si>
    <t>ANT-0096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</si>
  <si>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</si>
  <si>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</si>
  <si>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</si>
  <si>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</si>
  <si>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</si>
  <si>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</si>
  <si>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</si>
  <si>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</si>
  <si>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</si>
  <si>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</si>
  <si>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</si>
  <si>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ANT-0353</t>
  </si>
  <si>
    <t>ANT-0436</t>
  </si>
  <si>
    <t>ANT-0764</t>
  </si>
  <si>
    <t>ANT-0564</t>
  </si>
  <si>
    <t>ANT-0339</t>
  </si>
  <si>
    <t>Logs_Reseau_Part_05.xlsx</t>
  </si>
  <si>
    <t>ANT-0259</t>
  </si>
  <si>
    <t>ANT-0119</t>
  </si>
  <si>
    <t>ANT-0994</t>
  </si>
  <si>
    <t>ANT-0792</t>
  </si>
  <si>
    <t>ANT-0414</t>
  </si>
  <si>
    <t>ANT-0886</t>
  </si>
  <si>
    <t>ANT-0527</t>
  </si>
  <si>
    <t>ANT-0845</t>
  </si>
  <si>
    <t>ANT-0002</t>
  </si>
  <si>
    <t>ANT-0674</t>
  </si>
  <si>
    <t>ANT-0891</t>
  </si>
  <si>
    <t>ANT-0556</t>
  </si>
  <si>
    <t>ANT-0474</t>
  </si>
  <si>
    <t>ANT-0424</t>
  </si>
  <si>
    <t>ANT-0056</t>
  </si>
  <si>
    <t>ANT-0193</t>
  </si>
  <si>
    <t>ANT-0531</t>
  </si>
  <si>
    <t>ANT-0371</t>
  </si>
  <si>
    <t>ANT-0638</t>
  </si>
  <si>
    <t>ANT-0775</t>
  </si>
  <si>
    <t>ANT-0511</t>
  </si>
  <si>
    <t>ANT-0779</t>
  </si>
  <si>
    <t>ANT-0209</t>
  </si>
  <si>
    <t>ANT-0274</t>
  </si>
  <si>
    <t>ANT-0563</t>
  </si>
  <si>
    <t>ANT-0135</t>
  </si>
  <si>
    <t>ANT-0950</t>
  </si>
  <si>
    <t>ANT-0295</t>
  </si>
  <si>
    <t>ANT-0449</t>
  </si>
  <si>
    <t>ANT-0716</t>
  </si>
  <si>
    <t>ANT-0125</t>
  </si>
  <si>
    <t>ANT-0030</t>
  </si>
  <si>
    <t>ANT-0997</t>
  </si>
  <si>
    <t>ANT-0646</t>
  </si>
  <si>
    <t>ANT-0819</t>
  </si>
  <si>
    <t>ANT-0727</t>
  </si>
  <si>
    <t>Logs_Reseau_Part_06.xlsx</t>
  </si>
  <si>
    <t>ANT-0739</t>
  </si>
  <si>
    <t>ANT-0786</t>
  </si>
  <si>
    <t>ANT-0698</t>
  </si>
  <si>
    <t>ANT-0859</t>
  </si>
  <si>
    <t>ANT-0141</t>
  </si>
  <si>
    <t>ANT-0644</t>
  </si>
  <si>
    <t>ANT-0100</t>
  </si>
  <si>
    <t>ANT-0643</t>
  </si>
  <si>
    <t>ANT-0041</t>
  </si>
  <si>
    <t>ANT-0317</t>
  </si>
  <si>
    <t>ANT-0808</t>
  </si>
  <si>
    <t>ANT-0452</t>
  </si>
  <si>
    <t>ANT-0035</t>
  </si>
  <si>
    <t>ANT-0594</t>
  </si>
  <si>
    <t>ANT-0374</t>
  </si>
  <si>
    <t>ANT-0750</t>
  </si>
  <si>
    <t>ANT-0093</t>
  </si>
  <si>
    <t>ANT-0932</t>
  </si>
  <si>
    <t>ANT-0303</t>
  </si>
  <si>
    <t>ANT-0335</t>
  </si>
  <si>
    <t>ANT-0766</t>
  </si>
  <si>
    <t>ANT-0426</t>
  </si>
  <si>
    <t>ANT-0180</t>
  </si>
  <si>
    <t>ANT-0206</t>
  </si>
  <si>
    <t>ANT-0136</t>
  </si>
  <si>
    <t>ANT-0806</t>
  </si>
  <si>
    <t>ANT-0898</t>
  </si>
  <si>
    <t>ANT-0995</t>
  </si>
  <si>
    <t>ANT-0375</t>
  </si>
  <si>
    <t>ANT-0514</t>
  </si>
  <si>
    <t>ANT-0936</t>
  </si>
  <si>
    <t>ANT-0280</t>
  </si>
  <si>
    <t>ANT-0169</t>
  </si>
  <si>
    <t>ANT-0264</t>
  </si>
  <si>
    <t>ANT-0967</t>
  </si>
  <si>
    <t>ANT-0494</t>
  </si>
  <si>
    <t>ANT-0991</t>
  </si>
  <si>
    <t>ANT-0826</t>
  </si>
  <si>
    <t>Logs_Reseau_Part_07.xlsx</t>
  </si>
  <si>
    <t>ANT-0111</t>
  </si>
  <si>
    <t>ANT-0730</t>
  </si>
  <si>
    <t>ANT-0455</t>
  </si>
  <si>
    <t>ANT-0076</t>
  </si>
  <si>
    <t>ANT-0921</t>
  </si>
  <si>
    <t>ANT-0083</t>
  </si>
  <si>
    <t>ANT-0330</t>
  </si>
  <si>
    <t>ANT-0623</t>
  </si>
  <si>
    <t>ANT-0068</t>
  </si>
  <si>
    <t>ANT-0130</t>
  </si>
  <si>
    <t>ANT-0640</t>
  </si>
  <si>
    <t>ANT-0649</t>
  </si>
  <si>
    <t>ANT-0600</t>
  </si>
  <si>
    <t>ANT-0333</t>
  </si>
  <si>
    <t>ANT-0391</t>
  </si>
  <si>
    <t>ANT-0612</t>
  </si>
  <si>
    <t>ANT-0620</t>
  </si>
  <si>
    <t>ANT-0102</t>
  </si>
  <si>
    <t>ANT-0813</t>
  </si>
  <si>
    <t>ANT-0118</t>
  </si>
  <si>
    <t>Logs_Reseau_Part_08.xlsx</t>
  </si>
  <si>
    <t>ANT-0656</t>
  </si>
  <si>
    <t>ANT-0428</t>
  </si>
  <si>
    <t>ANT-0022</t>
  </si>
  <si>
    <t>ANT-0990</t>
  </si>
  <si>
    <t>ANT-0176</t>
  </si>
  <si>
    <t>ANT-0821</t>
  </si>
  <si>
    <t>ANT-0633</t>
  </si>
  <si>
    <t>ANT-0472</t>
  </si>
  <si>
    <t>ANT-0707</t>
  </si>
  <si>
    <t>ANT-0942</t>
  </si>
  <si>
    <t>ANT-0091</t>
  </si>
  <si>
    <t>ANT-0448</t>
  </si>
  <si>
    <t>ANT-0865</t>
  </si>
  <si>
    <t>ANT-0447</t>
  </si>
  <si>
    <t>ANT-0604</t>
  </si>
  <si>
    <t>ANT-0411</t>
  </si>
  <si>
    <t>ANT-0537</t>
  </si>
  <si>
    <t>ANT-0081</t>
  </si>
  <si>
    <t>ANT-0406</t>
  </si>
  <si>
    <t>ANT-0318</t>
  </si>
  <si>
    <t>ANT-0348</t>
  </si>
  <si>
    <t>ANT-0173</t>
  </si>
  <si>
    <t>ANT-0079</t>
  </si>
  <si>
    <t>ANT-0523</t>
  </si>
  <si>
    <t>Logs_Reseau_Part_09.xlsx</t>
  </si>
  <si>
    <t>ANT-0989</t>
  </si>
  <si>
    <t>ANT-0829</t>
  </si>
  <si>
    <t>ANT-0804</t>
  </si>
  <si>
    <t>ANT-0481</t>
  </si>
  <si>
    <t>ANT-0856</t>
  </si>
  <si>
    <t>ANT-0199</t>
  </si>
  <si>
    <t>ANT-0377</t>
  </si>
  <si>
    <t>ANT-0695</t>
  </si>
  <si>
    <t>ANT-0585</t>
  </si>
  <si>
    <t>ANT-0473</t>
  </si>
  <si>
    <t>ANT-0788</t>
  </si>
  <si>
    <t>ANT-0289</t>
  </si>
  <si>
    <t>ANT-0392</t>
  </si>
  <si>
    <t>ANT-0515</t>
  </si>
  <si>
    <t>ANT-0541</t>
  </si>
  <si>
    <t>ANT-0429</t>
  </si>
  <si>
    <t>ANT-0837</t>
  </si>
  <si>
    <t>ANT-0205</t>
  </si>
  <si>
    <t>ANT-0142</t>
  </si>
  <si>
    <t>ANT-0894</t>
  </si>
  <si>
    <t>ANT-0257</t>
  </si>
  <si>
    <t>ANT-0054</t>
  </si>
  <si>
    <t>ANT-0657</t>
  </si>
  <si>
    <t>ANT-0493</t>
  </si>
  <si>
    <t>ANT-0896</t>
  </si>
  <si>
    <t>ANT-0381</t>
  </si>
  <si>
    <t>ANT-0568</t>
  </si>
  <si>
    <t>ANT-0957</t>
  </si>
  <si>
    <t>ANT-0106</t>
  </si>
  <si>
    <t>ANT-0529</t>
  </si>
  <si>
    <t>ANT-0872</t>
  </si>
  <si>
    <t>ANT-0128</t>
  </si>
  <si>
    <t>ANT-0292</t>
  </si>
  <si>
    <t>ANT-0086</t>
  </si>
  <si>
    <t>Logs_Reseau_Part_10.xlsx</t>
  </si>
  <si>
    <t>ANT-0360</t>
  </si>
  <si>
    <t>ANT-0458</t>
  </si>
  <si>
    <t>ANT-0044</t>
  </si>
  <si>
    <t>ant-0745</t>
  </si>
  <si>
    <t>ANT-0934</t>
  </si>
  <si>
    <t>ANT-0362</t>
  </si>
  <si>
    <t>ANT-0630</t>
  </si>
  <si>
    <t>ANT-0446</t>
  </si>
  <si>
    <t>ANT-0811</t>
  </si>
  <si>
    <t>ANT-0059</t>
  </si>
  <si>
    <t>ANT-0077</t>
  </si>
  <si>
    <t>ANT-0688</t>
  </si>
  <si>
    <t>ANT-0416</t>
  </si>
  <si>
    <t>ANT-0373</t>
  </si>
  <si>
    <t>ANT-0526</t>
  </si>
  <si>
    <t>ANT-0768</t>
  </si>
  <si>
    <t>ANT-0696</t>
  </si>
  <si>
    <t>ANT-0164</t>
  </si>
  <si>
    <t>ANT-0976</t>
  </si>
  <si>
    <t>ANT-0032</t>
  </si>
  <si>
    <t>ANT-0147</t>
  </si>
  <si>
    <t>ANT-0870</t>
  </si>
  <si>
    <t>ANT-0801</t>
  </si>
  <si>
    <t>ANT-0036</t>
  </si>
  <si>
    <t>ANT-0069</t>
  </si>
  <si>
    <t>ANT-0242</t>
  </si>
  <si>
    <t>ANT-0661</t>
  </si>
  <si>
    <t>Logs_Reseau_Part_11.xlsx</t>
  </si>
  <si>
    <t>ANT-0126</t>
  </si>
  <si>
    <t>ANT-0145</t>
  </si>
  <si>
    <t>ANT-0052</t>
  </si>
  <si>
    <t>ANT-0298</t>
  </si>
  <si>
    <t>ANT-0969</t>
  </si>
  <si>
    <t>ANT-0394</t>
  </si>
  <si>
    <t>ANT-0885</t>
  </si>
  <si>
    <t>ANT-0631</t>
  </si>
  <si>
    <t>ANT-0255</t>
  </si>
  <si>
    <t>ANT-0986</t>
  </si>
  <si>
    <t>ANT-0887</t>
  </si>
  <si>
    <t>ANT-0924</t>
  </si>
  <si>
    <t>ANT-0834</t>
  </si>
  <si>
    <t>ANT-0336</t>
  </si>
  <si>
    <t>ANT-0592</t>
  </si>
  <si>
    <t>ANT-0321</t>
  </si>
  <si>
    <t>ANT-0195</t>
  </si>
  <si>
    <t>ANT-0782</t>
  </si>
  <si>
    <t>ANT-0528</t>
  </si>
  <si>
    <t>ANT-0479</t>
  </si>
  <si>
    <t>ANT-0901</t>
  </si>
  <si>
    <t>ANT-0510</t>
  </si>
  <si>
    <t>ANT-0024</t>
  </si>
  <si>
    <t>ANT-0403</t>
  </si>
  <si>
    <t>ant-0518</t>
  </si>
  <si>
    <t>ANT-0469</t>
  </si>
  <si>
    <t>ANT-0221</t>
  </si>
  <si>
    <t>ANT-0598</t>
  </si>
  <si>
    <t>Logs_Reseau_Part_12.xlsx</t>
  </si>
  <si>
    <t>ANT-0686</t>
  </si>
  <si>
    <t>ANT-0927</t>
  </si>
  <si>
    <t>ANT-0232</t>
  </si>
  <si>
    <t>ANT-0654</t>
  </si>
  <si>
    <t>ANT-0239</t>
  </si>
  <si>
    <t>ANT-0103</t>
  </si>
  <si>
    <t>ANT-0735</t>
  </si>
  <si>
    <t>ANT-0484</t>
  </si>
  <si>
    <t>ANT-0006</t>
  </si>
  <si>
    <t>ANT-0988</t>
  </si>
  <si>
    <t>ANT-0162</t>
  </si>
  <si>
    <t>ANT-0669</t>
  </si>
  <si>
    <t>ANT-0958</t>
  </si>
  <si>
    <t>ANT-0489</t>
  </si>
  <si>
    <t>ANT-0667</t>
  </si>
  <si>
    <t>ANT-0329</t>
  </si>
  <si>
    <t>ANT-0061</t>
  </si>
  <si>
    <t>ANT-0092</t>
  </si>
  <si>
    <t>ANT-0668</t>
  </si>
  <si>
    <t>ANT-0588</t>
  </si>
  <si>
    <t>ANT-0238</t>
  </si>
  <si>
    <t>ANT-0548</t>
  </si>
  <si>
    <t>ANT-0757</t>
  </si>
  <si>
    <t>Logs_Reseau_Part_13.xlsx</t>
  </si>
  <si>
    <t>ANT-0670</t>
  </si>
  <si>
    <t>ANT-0881</t>
  </si>
  <si>
    <t>ANT-0357</t>
  </si>
  <si>
    <t>ANT-0122</t>
  </si>
  <si>
    <t>ANT-0551</t>
  </si>
  <si>
    <t>ANT-0542</t>
  </si>
  <si>
    <t>ANT-0746</t>
  </si>
  <si>
    <t>ANT-0229</t>
  </si>
  <si>
    <t>ANT-0475</t>
  </si>
  <si>
    <t>ANT-0690</t>
  </si>
  <si>
    <t>ANT-0558</t>
  </si>
  <si>
    <t>ANT-0435</t>
  </si>
  <si>
    <t>ANT-0545</t>
  </si>
  <si>
    <t>ANT-0389</t>
  </si>
  <si>
    <t>ANT-0844</t>
  </si>
  <si>
    <t>ANT-0236</t>
  </si>
  <si>
    <t>ANT-0355</t>
  </si>
  <si>
    <t>ANT-0159</t>
  </si>
  <si>
    <t>ANT-0194</t>
  </si>
  <si>
    <t>ANT-0960</t>
  </si>
  <si>
    <t>ANT-0743</t>
  </si>
  <si>
    <t>ANT-0784</t>
  </si>
  <si>
    <t>ANT-0116</t>
  </si>
  <si>
    <t>ANT-0033</t>
  </si>
  <si>
    <t>ANT-0677</t>
  </si>
  <si>
    <t>ANT-0430</t>
  </si>
  <si>
    <t>Logs_Reseau_Part_14.xlsx</t>
  </si>
  <si>
    <t>ANT-0007</t>
  </si>
  <si>
    <t>ANT-0422</t>
  </si>
  <si>
    <t>ANT-0013</t>
  </si>
  <si>
    <t>ANT-0543</t>
  </si>
  <si>
    <t>ANT-0549</t>
  </si>
  <si>
    <t>ANT-0294</t>
  </si>
  <si>
    <t>ANT-0833</t>
  </si>
  <si>
    <t>ANT-0715</t>
  </si>
  <si>
    <t>ANT-0691</t>
  </si>
  <si>
    <t>ANT-0963</t>
  </si>
  <si>
    <t>ANT-0184</t>
  </si>
  <si>
    <t>ANT-0110</t>
  </si>
  <si>
    <t>ANT-0099</t>
  </si>
  <si>
    <t>ANT-0197</t>
  </si>
  <si>
    <t>ANT-0635</t>
  </si>
  <si>
    <t>ANT-0540</t>
  </si>
  <si>
    <t>ANT-0363</t>
  </si>
  <si>
    <t>ANT-0815</t>
  </si>
  <si>
    <t>ANT-0407</t>
  </si>
  <si>
    <t>ANT-0983</t>
  </si>
  <si>
    <t>ANT-0471</t>
  </si>
  <si>
    <t>ANT-0579</t>
  </si>
  <si>
    <t>ANT-0714</t>
  </si>
  <si>
    <t>ANT-0308</t>
  </si>
  <si>
    <t>ANT-0701</t>
  </si>
  <si>
    <t>ANT-0848</t>
  </si>
  <si>
    <t>ANT-0869</t>
  </si>
  <si>
    <t>Logs_Reseau_Part_15.xlsx</t>
  </si>
  <si>
    <t>ANT-0334</t>
  </si>
  <si>
    <t>ANT-0386</t>
  </si>
  <si>
    <t>ANT-0288</t>
  </si>
  <si>
    <t>ANT-0805</t>
  </si>
  <si>
    <t>ANT-0117</t>
  </si>
  <si>
    <t>ANT-0955</t>
  </si>
  <si>
    <t>ANT-0578</t>
  </si>
  <si>
    <t>ANT-0607</t>
  </si>
  <si>
    <t>ANT-0185</t>
  </si>
  <si>
    <t>ANT-0699</t>
  </si>
  <si>
    <t>ANT-0787</t>
  </si>
  <si>
    <t>ANT-0028</t>
  </si>
  <si>
    <t>ANT-0745</t>
  </si>
  <si>
    <t>ANT-0966</t>
  </si>
  <si>
    <t>ANT-0726</t>
  </si>
  <si>
    <t>ANT-0215</t>
  </si>
  <si>
    <t>ANT-0817</t>
  </si>
  <si>
    <t>ANT-0299</t>
  </si>
  <si>
    <t>ANT-0710</t>
  </si>
  <si>
    <t>ANT-0071</t>
  </si>
  <si>
    <t>ANT-0839</t>
  </si>
  <si>
    <t>ANT-0419</t>
  </si>
  <si>
    <t>ANT-0512</t>
  </si>
  <si>
    <t>ANT-0143</t>
  </si>
  <si>
    <t>ANT-0311</t>
  </si>
  <si>
    <t>Logs_Reseau_Part_16.xlsx</t>
  </si>
  <si>
    <t>ANT-0231</t>
  </si>
  <si>
    <t>ANT-0296</t>
  </si>
  <si>
    <t>ANT-0800</t>
  </si>
  <si>
    <t>ANT-0580</t>
  </si>
  <si>
    <t>ANT-0761</t>
  </si>
  <si>
    <t>ANT-0508</t>
  </si>
  <si>
    <t>ANT-0524</t>
  </si>
  <si>
    <t>ANT-0587</t>
  </si>
  <si>
    <t>ANT-0275</t>
  </si>
  <si>
    <t>ANT-0794</t>
  </si>
  <si>
    <t>ANT-0557</t>
  </si>
  <si>
    <t>ANT-0376</t>
  </si>
  <si>
    <t>ANT-0843</t>
  </si>
  <si>
    <t>ANT-0560</t>
  </si>
  <si>
    <t>ANT-0224</t>
  </si>
  <si>
    <t>ANT-0105</t>
  </si>
  <si>
    <t>ANT-0754</t>
  </si>
  <si>
    <t>ANT-0305</t>
  </si>
  <si>
    <t>ANT-0034</t>
  </si>
  <si>
    <t>ANT-0090</t>
  </si>
  <si>
    <t>ANT-0450</t>
  </si>
  <si>
    <t>Logs_Reseau_Part_17.xlsx</t>
  </si>
  <si>
    <t>ANT-0964</t>
  </si>
  <si>
    <t>ANT-0868</t>
  </si>
  <si>
    <t>ANT-0675</t>
  </si>
  <si>
    <t>ANT-0309</t>
  </si>
  <si>
    <t>ANT-0211</t>
  </si>
  <si>
    <t>ANT-0622</t>
  </si>
  <si>
    <t>ANT-0522</t>
  </si>
  <si>
    <t>ANT-0402</t>
  </si>
  <si>
    <t>ANT-0803</t>
  </si>
  <si>
    <t>ANT-0920</t>
  </si>
  <si>
    <t>ANT-0978</t>
  </si>
  <si>
    <t>ANT-0507</t>
  </si>
  <si>
    <t>ANT-0396</t>
  </si>
  <si>
    <t>ANT-0609</t>
  </si>
  <si>
    <t>ANT-0073</t>
  </si>
  <si>
    <t>ANT-0911</t>
  </si>
  <si>
    <t>ANT-0370</t>
  </si>
  <si>
    <t>ANT-0397</t>
  </si>
  <si>
    <t>ANT-0882</t>
  </si>
  <si>
    <t>Logs_Reseau_Part_18.xlsx</t>
  </si>
  <si>
    <t>ANT-0244</t>
  </si>
  <si>
    <t>ANT-0504</t>
  </si>
  <si>
    <t>ANT-0985</t>
  </si>
  <si>
    <t>ANT-0062</t>
  </si>
  <si>
    <t>ANT-0146</t>
  </si>
  <si>
    <t>ANT-0045</t>
  </si>
  <si>
    <t>ANT-0944</t>
  </si>
  <si>
    <t>ANT-0866</t>
  </si>
  <si>
    <t>ANT-0533</t>
  </si>
  <si>
    <t>ANT-0423</t>
  </si>
  <si>
    <t>ANT-0718</t>
  </si>
  <si>
    <t>ANT-0918</t>
  </si>
  <si>
    <t>ANT-0382</t>
  </si>
  <si>
    <t>ANT-0470</t>
  </si>
  <si>
    <t>ANT-0998</t>
  </si>
  <si>
    <t>ANT-0087</t>
  </si>
  <si>
    <t>ANT-0595</t>
  </si>
  <si>
    <t>ANT-0098</t>
  </si>
  <si>
    <t>ANT-0137</t>
  </si>
  <si>
    <t>ANT-0840</t>
  </si>
  <si>
    <t>ANT-0404</t>
  </si>
  <si>
    <t>ANT-0582</t>
  </si>
  <si>
    <t>ANT-0064</t>
  </si>
  <si>
    <t>ANT-0679</t>
  </si>
  <si>
    <t>ANT-0243</t>
  </si>
  <si>
    <t>ANT-0268</t>
  </si>
  <si>
    <t>Logs_Reseau_Part_19.xlsx</t>
  </si>
  <si>
    <t>ANT-0326</t>
  </si>
  <si>
    <t>ANT-0756</t>
  </si>
  <si>
    <t>ANT-0368</t>
  </si>
  <si>
    <t>ANT-0606</t>
  </si>
  <si>
    <t>ANT-0029</t>
  </si>
  <si>
    <t>ANT-0721</t>
  </si>
  <si>
    <t>ANT-0361</t>
  </si>
  <si>
    <t>ANT-0577</t>
  </si>
  <si>
    <t>ANT-0972</t>
  </si>
  <si>
    <t>ANT-0857</t>
  </si>
  <si>
    <t>ANT-0830</t>
  </si>
  <si>
    <t>ANT-0903</t>
  </si>
  <si>
    <t>ANT-0505</t>
  </si>
  <si>
    <t>ANT-0039</t>
  </si>
  <si>
    <t>ANT-0058</t>
  </si>
  <si>
    <t>ANT-0617</t>
  </si>
  <si>
    <t>ANT-0225</t>
  </si>
  <si>
    <t>ANT-0021</t>
  </si>
  <si>
    <t>ANT-0490</t>
  </si>
  <si>
    <t>Logs_Reseau_Part_20.xlsx</t>
  </si>
  <si>
    <t>ANT-0276</t>
  </si>
  <si>
    <t>ANT-0155</t>
  </si>
  <si>
    <t>ANT-0771</t>
  </si>
  <si>
    <t>ANT-0684</t>
  </si>
  <si>
    <t>ANT-0685</t>
  </si>
  <si>
    <t>ANT-0828</t>
  </si>
  <si>
    <t>ANT-0555</t>
  </si>
  <si>
    <t>ANT-0233</t>
  </si>
  <si>
    <t>ANT-0063</t>
  </si>
  <si>
    <t>ANT-0536</t>
  </si>
  <si>
    <t>ANT-0704</t>
  </si>
  <si>
    <t>ANT-0888</t>
  </si>
  <si>
    <t>ANT-0959</t>
  </si>
  <si>
    <t>ANT-0307</t>
  </si>
  <si>
    <t>ANT-0405</t>
  </si>
  <si>
    <t>ANT-0925</t>
  </si>
  <si>
    <t>ANT-0875</t>
  </si>
  <si>
    <t>ANT-0732</t>
  </si>
  <si>
    <t>ANT-0923</t>
  </si>
  <si>
    <t>ANT-0820</t>
  </si>
  <si>
    <t>ANT-0586</t>
  </si>
  <si>
    <t>Logs_Reseau_Part_21.xlsx</t>
  </si>
  <si>
    <t>ANT-0639</t>
  </si>
  <si>
    <t>ANT-0599</t>
  </si>
  <si>
    <t>ANT-0008</t>
  </si>
  <si>
    <t>ANT-0864</t>
  </si>
  <si>
    <t>ANT-0860</t>
  </si>
  <si>
    <t>ANT-0384</t>
  </si>
  <si>
    <t>ANT-0663</t>
  </si>
  <si>
    <t>ANT-0290</t>
  </si>
  <si>
    <t>ANT-0066</t>
  </si>
  <si>
    <t>ANT-0345</t>
  </si>
  <si>
    <t>ANT-0672</t>
  </si>
  <si>
    <t>ANT-0154</t>
  </si>
  <si>
    <t>ANT-0922</t>
  </si>
  <si>
    <t>ANT-0825</t>
  </si>
  <si>
    <t>Logs_Reseau_Part_22.xlsx</t>
  </si>
  <si>
    <t>ANT-0050</t>
  </si>
  <si>
    <t>ANT-0427</t>
  </si>
  <si>
    <t>ANT-0390</t>
  </si>
  <si>
    <t>ANT-0127</t>
  </si>
  <si>
    <t>ANT-0561</t>
  </si>
  <si>
    <t>ANT-0486</t>
  </si>
  <si>
    <t>ant-0719</t>
  </si>
  <si>
    <t>ANT-0712</t>
  </si>
  <si>
    <t>ANT-0703</t>
  </si>
  <si>
    <t>ANT-0431</t>
  </si>
  <si>
    <t>ANT-0678</t>
  </si>
  <si>
    <t>ANT-0104</t>
  </si>
  <si>
    <t>ANT-0277</t>
  </si>
  <si>
    <t>ANT-0621</t>
  </si>
  <si>
    <t>ANT-0108</t>
  </si>
  <si>
    <t>ANT-0121</t>
  </si>
  <si>
    <t>Logs_Reseau_Part_23.xlsx</t>
  </si>
  <si>
    <t>ANT-0019</t>
  </si>
  <si>
    <t>ANT-0571</t>
  </si>
  <si>
    <t>ANT-0846</t>
  </si>
  <si>
    <t>ANT-0094</t>
  </si>
  <si>
    <t>ANT-0619</t>
  </si>
  <si>
    <t>ANT-0987</t>
  </si>
  <si>
    <t>ANT-0634</t>
  </si>
  <si>
    <t>ANT-0312</t>
  </si>
  <si>
    <t>ANT-0912</t>
  </si>
  <si>
    <t>ANT-0521</t>
  </si>
  <si>
    <t>ANT-0576</t>
  </si>
  <si>
    <t>ANT-0212</t>
  </si>
  <si>
    <t>ANT-0671</t>
  </si>
  <si>
    <t>ANT-0468</t>
  </si>
  <si>
    <t>ANT-0974</t>
  </si>
  <si>
    <t>ANT-0350</t>
  </si>
  <si>
    <t>ANT-0466</t>
  </si>
  <si>
    <t>ANT-0340</t>
  </si>
  <si>
    <t>ANT-0574</t>
  </si>
  <si>
    <t>ANT-0615</t>
  </si>
  <si>
    <t>Logs_Reseau_Part_24.xlsx</t>
  </si>
  <si>
    <t>ANT-0753</t>
  </si>
  <si>
    <t>ANT-0123</t>
  </si>
  <si>
    <t>ANT-0387</t>
  </si>
  <si>
    <t>ANT-0042</t>
  </si>
  <si>
    <t>ANT-0439</t>
  </si>
  <si>
    <t>ANT-0286</t>
  </si>
  <si>
    <t>ANT-0165</t>
  </si>
  <si>
    <t>ANT-0262</t>
  </si>
  <si>
    <t>ANT-0478</t>
  </si>
  <si>
    <t>ANT-0158</t>
  </si>
  <si>
    <t>ANT-0951</t>
  </si>
  <si>
    <t>ANT-0331</t>
  </si>
  <si>
    <t>ANT-0793</t>
  </si>
  <si>
    <t>ant-0309</t>
  </si>
  <si>
    <t>ANT-0809</t>
  </si>
  <si>
    <t>ANT-0367</t>
  </si>
  <si>
    <t>ANT-0075</t>
  </si>
  <si>
    <t>ANT-0725</t>
  </si>
  <si>
    <t>ANT-0539</t>
  </si>
  <si>
    <t>ANT-0226</t>
  </si>
  <si>
    <t>ANT-0980</t>
  </si>
  <si>
    <t>ANT-0189</t>
  </si>
  <si>
    <t>ANT-0070</t>
  </si>
  <si>
    <t>Logs_Reseau_Part_25.xlsx</t>
  </si>
  <si>
    <t>ANT-0186</t>
  </si>
  <si>
    <t>ANT-0873</t>
  </si>
  <si>
    <t>ANT-0101</t>
  </si>
  <si>
    <t>ANT-0203</t>
  </si>
  <si>
    <t>ANT-0744</t>
  </si>
  <si>
    <t>ANT-0499</t>
  </si>
  <si>
    <t>ANT-0975</t>
  </si>
  <si>
    <t>ANT-0366</t>
  </si>
  <si>
    <t>ANT-0132</t>
  </si>
  <si>
    <t>ANT-0241</t>
  </si>
  <si>
    <t>ID_Antenne</t>
  </si>
  <si>
    <t>Province_RDC</t>
  </si>
  <si>
    <t>Latitude</t>
  </si>
  <si>
    <t>Longitude</t>
  </si>
  <si>
    <t>Technologie</t>
  </si>
  <si>
    <t>Equipementier</t>
  </si>
  <si>
    <t>Registre_Maintenance_Part_01.xlsx</t>
  </si>
  <si>
    <t>5G</t>
  </si>
  <si>
    <t>Ericsson</t>
  </si>
  <si>
    <t>ANT-0084</t>
  </si>
  <si>
    <t>4G</t>
  </si>
  <si>
    <t>Huawei</t>
  </si>
  <si>
    <t>3G</t>
  </si>
  <si>
    <t>ZTE</t>
  </si>
  <si>
    <t>ANT-0880</t>
  </si>
  <si>
    <t>ANT-0847</t>
  </si>
  <si>
    <t>ANT-0144</t>
  </si>
  <si>
    <t>ANT-0552</t>
  </si>
  <si>
    <t>ANT-0202</t>
  </si>
  <si>
    <t>ANT-0752</t>
  </si>
  <si>
    <t>Nokia</t>
  </si>
  <si>
    <t>ANT-0908</t>
  </si>
  <si>
    <t>ANT-0647</t>
  </si>
  <si>
    <t>ANT-0593</t>
  </si>
  <si>
    <t>ANT-0605</t>
  </si>
  <si>
    <t>ANT-0218</t>
  </si>
  <si>
    <t>ANT-0038</t>
  </si>
  <si>
    <t>ANT-0267</t>
  </si>
  <si>
    <t>ANT-0916</t>
  </si>
  <si>
    <t>ANT-0993</t>
  </si>
  <si>
    <t>ANT-0791</t>
  </si>
  <si>
    <t>ANT-0751</t>
  </si>
  <si>
    <t>ANT-0878</t>
  </si>
  <si>
    <t>Registre_Maintenance_Part_02.xlsx</t>
  </si>
  <si>
    <t>ANT-0138</t>
  </si>
  <si>
    <t>ANT-0476</t>
  </si>
  <si>
    <t>ANT-0629</t>
  </si>
  <si>
    <t>ANT-0170</t>
  </si>
  <si>
    <t>ANT-0776</t>
  </si>
  <si>
    <t>ANT-0676</t>
  </si>
  <si>
    <t>ANT-0150</t>
  </si>
  <si>
    <t>ANT-0496</t>
  </si>
  <si>
    <t>ANT-0780</t>
  </si>
  <si>
    <t>ANT-0500</t>
  </si>
  <si>
    <t>ANT-0065</t>
  </si>
  <si>
    <t>ANT-0240</t>
  </si>
  <si>
    <t>ANT-0398</t>
  </si>
  <si>
    <t>ANT-0048</t>
  </si>
  <si>
    <t>Registre_Maintenance_Part_03.xlsx</t>
  </si>
  <si>
    <t>ANT-0665</t>
  </si>
  <si>
    <t>ANT-0281</t>
  </si>
  <si>
    <t>ANT-0584</t>
  </si>
  <si>
    <t>ANT-0179</t>
  </si>
  <si>
    <t>ANT-0962</t>
  </si>
  <si>
    <t>ANT-0388</t>
  </si>
  <si>
    <t>ANT-0602</t>
  </si>
  <si>
    <t>ANT-0884</t>
  </si>
  <si>
    <t>ANT-0354</t>
  </si>
  <si>
    <t>ANT-0948</t>
  </si>
  <si>
    <t>ANT-0933</t>
  </si>
  <si>
    <t>ANT-0659</t>
  </si>
  <si>
    <t>ANT-0217</t>
  </si>
  <si>
    <t>ANT-0192</t>
  </si>
  <si>
    <t>Registre_Maintenance_Part_04.xlsx</t>
  </si>
  <si>
    <t>ANT-0939</t>
  </si>
  <si>
    <t>ANT-0858</t>
  </si>
  <si>
    <t>ANT-0425</t>
  </si>
  <si>
    <t>ANT-0831</t>
  </si>
  <si>
    <t>ANT-0692</t>
  </si>
  <si>
    <t>ANT-0491</t>
  </si>
  <si>
    <t>ANT-0216</t>
  </si>
  <si>
    <t>ANT-0421</t>
  </si>
  <si>
    <t>ANT-0023</t>
  </si>
  <si>
    <t>ANT-0645</t>
  </si>
  <si>
    <t>ANT-0525</t>
  </si>
  <si>
    <t>ANT-0151</t>
  </si>
  <si>
    <t>ANT-0171</t>
  </si>
  <si>
    <t>ANT-0265</t>
  </si>
  <si>
    <t>ANT-0876</t>
  </si>
  <si>
    <t>ANT-0871</t>
  </si>
  <si>
    <t>ANT-0982</t>
  </si>
  <si>
    <t>ANT-0291</t>
  </si>
  <si>
    <t>Registre_Maintenance_Part_05.xlsx</t>
  </si>
  <si>
    <t xml:space="preserve">ANT-0222 </t>
  </si>
  <si>
    <t>ANT-0460</t>
  </si>
  <si>
    <t>ANT-1000</t>
  </si>
  <si>
    <t>ANT-0483</t>
  </si>
  <si>
    <t>ANT-0175</t>
  </si>
  <si>
    <t>ANT-0616</t>
  </si>
  <si>
    <t>ANT-0187</t>
  </si>
  <si>
    <t>ANT-0956</t>
  </si>
  <si>
    <t>ANT-0172</t>
  </si>
  <si>
    <t>ANT-0742</t>
  </si>
  <si>
    <t>ANT-0351</t>
  </si>
  <si>
    <t>ANT-0832</t>
  </si>
  <si>
    <t>ANT-0395</t>
  </si>
  <si>
    <t>ANT-0112</t>
  </si>
  <si>
    <t>ANT-0017</t>
  </si>
  <si>
    <t>ANT-0208</t>
  </si>
  <si>
    <t>ANT-0182</t>
  </si>
  <si>
    <t>ANT-0040</t>
  </si>
  <si>
    <t>ANT-0516</t>
  </si>
  <si>
    <t>ANT-0796</t>
  </si>
  <si>
    <t>ANT-0789</t>
  </si>
  <si>
    <t>Registre_Maintenance_Part_06.xlsx</t>
  </si>
  <si>
    <t>ANT-0618</t>
  </si>
  <si>
    <t>ANT-0899</t>
  </si>
  <si>
    <t>ANT-0442</t>
  </si>
  <si>
    <t>ANT-0535</t>
  </si>
  <si>
    <t>ANT-0380</t>
  </si>
  <si>
    <t>ANT-0938</t>
  </si>
  <si>
    <t>ANT-0440</t>
  </si>
  <si>
    <t>ANT-0235</t>
  </si>
  <si>
    <t>ANT-0359</t>
  </si>
  <si>
    <t>ANT-0954</t>
  </si>
  <si>
    <t>ANT-0590</t>
  </si>
  <si>
    <t>ANT-0261</t>
  </si>
  <si>
    <t>ANT-0802</t>
  </si>
  <si>
    <t>ANT-0613</t>
  </si>
  <si>
    <t xml:space="preserve">ANT-0739 </t>
  </si>
  <si>
    <t>ANT-0385</t>
  </si>
  <si>
    <t>ANT-0705</t>
  </si>
  <si>
    <t>ANT-0324</t>
  </si>
  <si>
    <t>ANT-0849</t>
  </si>
  <si>
    <t>Registre_Maintenance_Part_07.xlsx</t>
  </si>
  <si>
    <t>ANT-0260</t>
  </si>
  <si>
    <t>ANT-0627</t>
  </si>
  <si>
    <t>ANT-0495</t>
  </si>
  <si>
    <t>ANT-0741</t>
  </si>
  <si>
    <t>ANT-0697</t>
  </si>
  <si>
    <t>ANT-0408</t>
  </si>
  <si>
    <t>ANT-0841</t>
  </si>
  <si>
    <t>ANT-0220</t>
  </si>
  <si>
    <t>ANT-0347</t>
  </si>
  <si>
    <t>ANT-0937</t>
  </si>
  <si>
    <t>ANT-0822</t>
  </si>
  <si>
    <t>ANT-0399</t>
  </si>
  <si>
    <t>ANT-0652</t>
  </si>
  <si>
    <t>ANT-0149</t>
  </si>
  <si>
    <t>ANT-0758</t>
  </si>
  <si>
    <t>Registre_Maintenance_Part_08.xlsx</t>
  </si>
  <si>
    <t>ANT-0889</t>
  </si>
  <si>
    <t>ANT-0228</t>
  </si>
  <si>
    <t>ANT-0682</t>
  </si>
  <si>
    <t>ANT-0082</t>
  </si>
  <si>
    <t>ANT-0895</t>
  </si>
  <si>
    <t>ANT-0207</t>
  </si>
  <si>
    <t>ANT-0907</t>
  </si>
  <si>
    <t>ANT-0200</t>
  </si>
  <si>
    <t>ANT-0947</t>
  </si>
  <si>
    <t>ANT-0915</t>
  </si>
  <si>
    <t>ANT-0174</t>
  </si>
  <si>
    <t>ANT-0369</t>
  </si>
  <si>
    <t>ANT-0940</t>
  </si>
  <si>
    <t>ANT-0893</t>
  </si>
  <si>
    <t xml:space="preserve">ANT-0089 </t>
  </si>
  <si>
    <t>ANT-0410</t>
  </si>
  <si>
    <t>ANT-0981</t>
  </si>
  <si>
    <t>ANT-0810</t>
  </si>
  <si>
    <t>ANT-0601</t>
  </si>
  <si>
    <t>ANT-0016</t>
  </si>
  <si>
    <t>ANT-0946</t>
  </si>
  <si>
    <t>ANT-0681</t>
  </si>
  <si>
    <t>Étiquettes de lignes</t>
  </si>
  <si>
    <t>Total général</t>
  </si>
  <si>
    <t>Somme de Duree_Panne_Min</t>
  </si>
  <si>
    <t>0</t>
  </si>
  <si>
    <t>;</t>
  </si>
  <si>
    <t>Latitute</t>
  </si>
  <si>
    <t>Province_Corrigée</t>
  </si>
  <si>
    <t>Verification_Province</t>
  </si>
  <si>
    <t>Étiquettes de colonnes</t>
  </si>
  <si>
    <t>All</t>
  </si>
  <si>
    <t>Remise Client</t>
  </si>
  <si>
    <t>Pertes financieres</t>
  </si>
  <si>
    <t>Types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</si>
</sst>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Arial Black"/>
      <family val="2"/>
    </font>
    <font>
      <b/>
      <sz val="12"/>
      <color theme="4"/>
      <name val="Arial Black"/>
      <family val="2"/>
    </font>
    <font>
      <b/>
      <sz val="14"/>
      <color theme="4"/>
      <name val="Arial Black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2" fontId="3" fillId="0" borderId="0" xfId="0" applyNumberFormat="1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9" fontId="0" fillId="0" borderId="0" xfId="1" applyFont="1"/>
    <xf numFmtId="0" fontId="0" fillId="0" borderId="0" xfId="0" applyNumberFormat="1"/>
  </cellXfs>
  <cellStyles count="2">
    <cellStyle name="Normal" xfId="0" builtinId="0"/>
    <cellStyle name="Pourcentage" xfId="1" builtinId="5"/>
  </cellStyles>
  <dxfs count="21"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8.716579861109" backgroundQuery="1" createdVersion="8" refreshedVersion="8" minRefreshableVersion="3" recordCount="0" supportSubquery="1" supportAdvancedDrill="1" xr:uid="{DFFC82DE-4F15-4DA5-BCF9-77B68AC03C24}">
  <cacheSource type="external" connectionId="16"/>
  <cacheFields count="4">
    <cacheField name="[logs__reseaux].[Province_Corrigée].[Province_Corrigée]" caption="Province_Corrigée" numFmtId="0" hierarchy="6" level="1">
      <sharedItems count="27">
        <s v="0"/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[logs__reseaux].[Technologie].[Technologie]" caption="Technologie" numFmtId="0" hierarchy="9" level="1">
      <sharedItems count="4">
        <s v="3G"/>
        <s v="4G"/>
        <s v="5G"/>
        <s v="Non trouvé" u="1"/>
      </sharedItems>
    </cacheField>
    <cacheField name="[Measures].[Somme de Duree_Panne_Min]" caption="Somme de Duree_Panne_Min" numFmtId="0" hierarchy="13" level="32767"/>
    <cacheField name="[logs__reseaux].[Statut_Resolution].[Statut_Resolution]" caption="Statut_Resolution" numFmtId="0" hierarchy="4" level="1">
      <sharedItems containsSemiMixedTypes="0" containsNonDate="0" containsString="0"/>
    </cacheField>
  </cacheFields>
  <cacheHierarchies count="14">
    <cacheHierarchy uniqueName="[logs__reseaux].[Source.Name]" caption="Source.Name" attribute="1" defaultMemberUniqueName="[logs__reseaux].[Source.Name].[All]" allUniqueName="[logs__reseaux].[Source.Name].[All]" dimensionUniqueName="[logs__reseaux]" displayFolder="" count="2" memberValueDatatype="130" unbalanced="0"/>
    <cacheHierarchy uniqueName="[logs__reseaux].[Date_Heure_Panne]" caption="Date_Heure_Panne" attribute="1" time="1" defaultMemberUniqueName="[logs__reseaux].[Date_Heure_Panne].[All]" allUniqueName="[logs__reseaux].[Date_Heure_Panne].[All]" dimensionUniqueName="[logs__reseaux]" displayFolder="" count="2" memberValueDatatype="7" unbalanced="0"/>
    <cacheHierarchy uniqueName="[logs__reseaux].[Cell_ID]" caption="Cell_ID" attribute="1" defaultMemberUniqueName="[logs__reseaux].[Cell_ID].[All]" allUniqueName="[logs__reseaux].[Cell_ID].[All]" dimensionUniqueName="[logs__reseaux]" displayFolder="" count="2" memberValueDatatype="130" unbalanced="0"/>
    <cacheHierarchy uniqueName="[logs__reseaux].[Duree_Panne_Min]" caption="Duree_Panne_Min" attribute="1" defaultMemberUniqueName="[logs__reseaux].[Duree_Panne_Min].[All]" allUniqueName="[logs__reseaux].[Duree_Panne_Min].[All]" dimensionUniqueName="[logs__reseaux]" displayFolder="" count="2" memberValueDatatype="20" unbalanced="0"/>
    <cacheHierarchy uniqueName="[logs__reseaux].[Statut_Resolution]" caption="Statut_Resolution" attribute="1" defaultMemberUniqueName="[logs__reseaux].[Statut_Resolution].[All]" allUniqueName="[logs__reseaux].[Statut_Resolution].[All]" dimensionUniqueName="[logs__reseaux]" displayFolder="" count="2" memberValueDatatype="130" unbalanced="0">
      <fieldsUsage count="2">
        <fieldUsage x="-1"/>
        <fieldUsage x="3"/>
      </fieldsUsage>
    </cacheHierarchy>
    <cacheHierarchy uniqueName="[logs__reseaux].[Province_RDC]" caption="Province_RDC" attribute="1" defaultMemberUniqueName="[logs__reseaux].[Province_RDC].[All]" allUniqueName="[logs__reseaux].[Province_RDC].[All]" dimensionUniqueName="[logs__reseaux]" displayFolder="" count="2" memberValueDatatype="130" unbalanced="0"/>
    <cacheHierarchy uniqueName="[logs__reseaux].[Province_Corrigée]" caption="Province_Corrigée" attribute="1" defaultMemberUniqueName="[logs__reseaux].[Province_Corrigée].[All]" allUniqueName="[logs__reseaux].[Province_Corrigée].[All]" dimensionUniqueName="[logs__reseaux]" displayFolder="" count="2" memberValueDatatype="130" unbalanced="0">
      <fieldsUsage count="2">
        <fieldUsage x="-1"/>
        <fieldUsage x="0"/>
      </fieldsUsage>
    </cacheHierarchy>
    <cacheHierarchy uniqueName="[logs__reseaux].[Latitute]" caption="Latitute" attribute="1" defaultMemberUniqueName="[logs__reseaux].[Latitute].[All]" allUniqueName="[logs__reseaux].[Latitute].[All]" dimensionUniqueName="[logs__reseaux]" displayFolder="" count="2" memberValueDatatype="130" unbalanced="0"/>
    <cacheHierarchy uniqueName="[logs__reseaux].[Longitude]" caption="Longitude" attribute="1" defaultMemberUniqueName="[logs__reseaux].[Longitude].[All]" allUniqueName="[logs__reseaux].[Longitude].[All]" dimensionUniqueName="[logs__reseaux]" displayFolder="" count="2" memberValueDatatype="130" unbalanced="0"/>
    <cacheHierarchy uniqueName="[logs__reseaux].[Technologie]" caption="Technologie" attribute="1" defaultMemberUniqueName="[logs__reseaux].[Technologie].[All]" allUniqueName="[logs__reseaux].[Technologie].[All]" dimensionUniqueName="[logs__reseaux]" displayFolder="" count="2" memberValueDatatype="130" unbalanced="0">
      <fieldsUsage count="2">
        <fieldUsage x="-1"/>
        <fieldUsage x="1"/>
      </fieldsUsage>
    </cacheHierarchy>
    <cacheHierarchy uniqueName="[logs__reseaux].[Verification_Province]" caption="Verification_Province" attribute="1" defaultMemberUniqueName="[logs__reseaux].[Verification_Province].[All]" allUniqueName="[logs__reseaux].[Verification_Province].[All]" dimensionUniqueName="[logs__reseaux]" displayFolder="" count="2" memberValueDatatype="130" unbalanced="0"/>
    <cacheHierarchy uniqueName="[Measures].[__XL_Count logs__reseaux]" caption="__XL_Count logs__reseaux" measure="1" displayFolder="" measureGroup="logs__reseaux" count="0" hidden="1"/>
    <cacheHierarchy uniqueName="[Measures].[__No measures defined]" caption="__No measures defined" measure="1" displayFolder="" count="0" hidden="1"/>
    <cacheHierarchy uniqueName="[Measures].[Somme de Duree_Panne_Min]" caption="Somme de Duree_Panne_Min" measure="1" displayFolder="" measureGroup="logs__reseaux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logs__reseaux" uniqueName="[logs__reseaux]" caption="logs__reseaux"/>
    <dimension measure="1" name="Measures" uniqueName="[Measures]" caption="Measures"/>
  </dimensions>
  <measureGroups count="1">
    <measureGroup name="logs__reseaux" caption="logs__reseaux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F4FFA-1FEA-44AA-83A6-4D9FC1CB5E46}" name="Tableau croisé dynamique3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E32" firstHeaderRow="1" firstDataRow="2" firstDataCol="1" rowPageCount="1" colPageCount="1"/>
  <pivotFields count="4">
    <pivotField axis="axisRow" allDrilled="1" subtotalTop="0" showAll="0" sortType="descending" defaultSubtotal="0" defaultAttributeDrillState="1">
      <items count="2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28">
    <i>
      <x v="19"/>
    </i>
    <i>
      <x v="11"/>
    </i>
    <i>
      <x v="3"/>
    </i>
    <i>
      <x v="24"/>
    </i>
    <i>
      <x v="20"/>
    </i>
    <i>
      <x v="23"/>
    </i>
    <i>
      <x v="1"/>
    </i>
    <i>
      <x v="22"/>
    </i>
    <i>
      <x v="25"/>
    </i>
    <i>
      <x v="15"/>
    </i>
    <i>
      <x v="14"/>
    </i>
    <i>
      <x v="18"/>
    </i>
    <i>
      <x v="5"/>
    </i>
    <i>
      <x v="4"/>
    </i>
    <i>
      <x v="10"/>
    </i>
    <i>
      <x v="17"/>
    </i>
    <i>
      <x v="2"/>
    </i>
    <i>
      <x v="6"/>
    </i>
    <i>
      <x v="13"/>
    </i>
    <i>
      <x v="7"/>
    </i>
    <i>
      <x v="8"/>
    </i>
    <i>
      <x v="12"/>
    </i>
    <i>
      <x v="9"/>
    </i>
    <i>
      <x v="26"/>
    </i>
    <i>
      <x v="16"/>
    </i>
    <i>
      <x v="21"/>
    </i>
    <i>
      <x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3" hier="4" name="[logs__reseaux].[Statut_Resolution].[All]" cap="All"/>
  </pageFields>
  <dataFields count="1">
    <dataField name="Somme de Duree_Panne_Min" fld="2" baseField="0" baseItem="0"/>
  </dataFields>
  <pivotHierarchies count="1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adea telco Excel.xlsx!logs__reseaux">
        <x15:activeTabTopLevelEntity name="[logs__reseaux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8B371E9-C9E6-48B9-904E-62893AE36D52}" autoFormatId="16" applyNumberFormats="0" applyBorderFormats="0" applyFontFormats="0" applyPatternFormats="0" applyAlignmentFormats="0" applyWidthHeightFormats="0">
  <queryTableRefresh nextId="12" unboundColumnsRight="2">
    <queryTableFields count="10">
      <queryTableField id="2" name="ID_Client" tableColumnId="2"/>
      <queryTableField id="3" name="Province_Client" tableColumnId="3"/>
      <queryTableField id="4" name="Anciennete_Mois" tableColumnId="4"/>
      <queryTableField id="5" name="Type_Forfait" tableColumnId="5"/>
      <queryTableField id="11" dataBound="0" tableColumnId="10"/>
      <queryTableField id="6" name="Duree_Cumulee_Panne_Min" tableColumnId="6"/>
      <queryTableField id="7" name="Facture_Mensuelle" tableColumnId="7"/>
      <queryTableField id="8" name="Plaintes_Service_Client" tableColumnId="8"/>
      <queryTableField id="9" dataBound="0" tableColumnId="1"/>
      <queryTableField id="10" dataBound="0" tableColumnId="9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FCC70DA6-54F3-443B-9E1F-6E3D0CF6C5D7}" autoFormatId="16" applyNumberFormats="0" applyBorderFormats="0" applyFontFormats="0" applyPatternFormats="0" applyAlignmentFormats="0" applyWidthHeightFormats="0">
  <queryTableRefresh nextId="15" unboundColumnsRight="5">
    <queryTableFields count="11">
      <queryTableField id="1" name="Source.Name" tableColumnId="1"/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  <queryTableField id="7" name="Registre maintenance.Province_RDC" tableColumnId="7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  <queryTableDeletedFields count="2">
      <deletedField name="Registre maintenance.Province_RDC.2"/>
      <deletedField name="Registre maintenance.Province_RDC.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9" xr16:uid="{BD2A7D0E-47B5-4156-984D-303B98639FEE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B6191-DBFF-4DD2-B63E-3257346C89E9}" name="Churn_part" displayName="Churn_part" ref="A1:J749" tableType="queryTable" totalsRowShown="0">
  <autoFilter ref="A1:J749" xr:uid="{623B6191-DBFF-4DD2-B63E-3257346C89E9}"/>
  <tableColumns count="10">
    <tableColumn id="2" xr3:uid="{42A50A2C-ED6D-48F3-8C2B-4138BE12C030}" uniqueName="2" name="ID_Client" queryTableFieldId="2" dataDxfId="20"/>
    <tableColumn id="3" xr3:uid="{43CE9650-E902-4D09-A8BD-0F217E09A01A}" uniqueName="3" name="Province_Client" queryTableFieldId="3" dataDxfId="19"/>
    <tableColumn id="4" xr3:uid="{19E46D71-8C76-45BC-B999-88545E6D4057}" uniqueName="4" name="Anciennete_Mois" queryTableFieldId="4"/>
    <tableColumn id="5" xr3:uid="{F6AFE389-9EE5-4B4F-AE8C-8BEA3D263E42}" uniqueName="5" name="Type_Forfait" queryTableFieldId="5" dataDxfId="18"/>
    <tableColumn id="10" xr3:uid="{6D61A654-A275-4897-B8BB-ED664F71F5BA}" uniqueName="10" name="Types client" queryTableFieldId="11" dataDxfId="1">
      <calculatedColumnFormula>IF(Churn_part[[#This Row],[Type_Forfait]]="Pro Monde", "B2B", "B2C")</calculatedColumnFormula>
    </tableColumn>
    <tableColumn id="6" xr3:uid="{44474D92-A7AC-43C3-AF3F-B9048C0EA9AB}" uniqueName="6" name="Duree_Cumulee_Panne_Min" queryTableFieldId="6"/>
    <tableColumn id="7" xr3:uid="{7A646B2C-6129-4968-BE87-BCEC937076BD}" uniqueName="7" name="Facture_Mensuelle" queryTableFieldId="7" dataDxfId="2"/>
    <tableColumn id="8" xr3:uid="{507825BE-5753-49D4-9237-05551A9FB4C3}" uniqueName="8" name="Plaintes_Service_Client" queryTableFieldId="8"/>
    <tableColumn id="1" xr3:uid="{CFD035FE-4F69-418F-9DCB-2B0626620D3D}" uniqueName="1" name="Remise Client" queryTableFieldId="9" dataCellStyle="Pourcentage">
      <calculatedColumnFormula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calculatedColumnFormula>
    </tableColumn>
    <tableColumn id="9" xr3:uid="{A51DF4EE-4C9B-4C23-871D-0843D7D68183}" uniqueName="9" name="Pertes financieres" queryTableFieldId="10" dataDxfId="0">
      <calculatedColumnFormula>Churn_part[[#This Row],[Facture_Mensuelle]]*Churn_part[[#This Row],[Remise Client]]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72DDF7-5B63-44FD-ACA2-7EC18DCD6CA7}" name="logs_reseaux" displayName="logs_reseaux" ref="A1:K1085" tableType="queryTable" totalsRowShown="0">
  <autoFilter ref="A1:K1085" xr:uid="{2C72DDF7-5B63-44FD-ACA2-7EC18DCD6CA7}"/>
  <tableColumns count="11">
    <tableColumn id="1" xr3:uid="{90D0170B-35C0-496E-B55E-3E6A4EAF1676}" uniqueName="1" name="Source.Name" queryTableFieldId="1" dataDxfId="17"/>
    <tableColumn id="2" xr3:uid="{8DA26818-318C-4522-AEBA-BF4AB6562F76}" uniqueName="2" name="Date_Heure_Panne" queryTableFieldId="2" dataDxfId="16"/>
    <tableColumn id="3" xr3:uid="{B5FE7A28-2180-41E6-8200-19166877ED86}" uniqueName="3" name="Cell_ID" queryTableFieldId="3" dataDxfId="15"/>
    <tableColumn id="4" xr3:uid="{DB7F7D61-B6F3-4077-833B-BF245DDC4DCC}" uniqueName="4" name="Duree_Panne_Min" queryTableFieldId="4"/>
    <tableColumn id="5" xr3:uid="{7F671EAA-4869-4B1B-A5C4-08DB517F385D}" uniqueName="5" name="Statut_Resolution" queryTableFieldId="5" dataDxfId="14"/>
    <tableColumn id="7" xr3:uid="{C29E61A0-733D-41F1-A02D-557F6E26F6B4}" uniqueName="7" name="Province_RDC" queryTableFieldId="7" dataDxfId="13"/>
    <tableColumn id="10" xr3:uid="{D9F91630-DE6D-4BFB-B22A-809E78857A03}" uniqueName="10" name="Province_Corrigée" queryTableFieldId="10" dataDxfId="12">
      <calculatedColumnFormula>IFERROR(VLOOKUP(C2,'Registre maintenance'!B:F,2,FALSE),"Non trouvé")</calculatedColumnFormula>
    </tableColumn>
    <tableColumn id="11" xr3:uid="{A37B1A45-06AD-4CDD-ACC9-D8D01D4DB0AF}" uniqueName="11" name="Latitute" queryTableFieldId="11" dataDxfId="11">
      <calculatedColumnFormula>IFERROR(VLOOKUP(C2,'Registre maintenance'!B:F,3,FALSE),"Non trouvé")</calculatedColumnFormula>
    </tableColumn>
    <tableColumn id="12" xr3:uid="{287B26C4-E8B3-40D9-92F8-361A9B551B62}" uniqueName="12" name="Longitude" queryTableFieldId="12" dataDxfId="10">
      <calculatedColumnFormula>IFERROR(VLOOKUP(C2,'Registre maintenance'!B:F,4,FALSE),"Non trouvé")</calculatedColumnFormula>
    </tableColumn>
    <tableColumn id="13" xr3:uid="{144867D9-46FD-4ABC-AFAC-7ADCC3E44E16}" uniqueName="13" name="Technologie" queryTableFieldId="13" dataDxfId="9">
      <calculatedColumnFormula>IFERROR(VLOOKUP(C2,'Registre maintenance'!B:F,5,FALSE),"Non trouvé")</calculatedColumnFormula>
    </tableColumn>
    <tableColumn id="14" xr3:uid="{DDE6AA90-77BC-4656-8907-692EE7AFCB93}" uniqueName="14" name="Verification_Province" queryTableFieldId="14" dataDxfId="8">
      <calculatedColumnFormula>IF(F2=G2,"OK","Mismatch")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AF7C43-00D6-4D36-B549-1C0F2C8DAA01}" name="Registre_maintenance" displayName="Registre_maintenance" ref="A1:G401" tableType="queryTable" totalsRowShown="0">
  <autoFilter ref="A1:G401" xr:uid="{29AF7C43-00D6-4D36-B549-1C0F2C8DAA01}"/>
  <tableColumns count="7">
    <tableColumn id="1" xr3:uid="{FD701F20-699F-4C56-9D7B-C2F49C19ACF8}" uniqueName="1" name="Source.Name" queryTableFieldId="1" dataDxfId="7"/>
    <tableColumn id="2" xr3:uid="{735AFCAE-7CAE-475A-920A-A57FC69DB87C}" uniqueName="2" name="ID_Antenne" queryTableFieldId="2" dataDxfId="6"/>
    <tableColumn id="3" xr3:uid="{B24AC690-ADEE-4FED-B661-269016D0F806}" uniqueName="3" name="Province_RDC" queryTableFieldId="3" dataDxfId="5"/>
    <tableColumn id="4" xr3:uid="{D826534D-E72E-4771-BBF7-6D0253A5E182}" uniqueName="4" name="Latitude" queryTableFieldId="4"/>
    <tableColumn id="5" xr3:uid="{D2579875-673D-43C1-A800-E51D0F67EAE5}" uniqueName="5" name="Longitude" queryTableFieldId="5"/>
    <tableColumn id="6" xr3:uid="{DE6C9004-FBE3-4331-889C-524888E20B49}" uniqueName="6" name="Technologie" queryTableFieldId="6" dataDxfId="4"/>
    <tableColumn id="7" xr3:uid="{26C09D91-FB5D-4099-9309-03B39F6273E3}" uniqueName="7" name="Equipementier" queryTableFieldId="7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EEFE-3C50-4AC4-92E8-8ED145DDC873}">
  <dimension ref="A1:J749"/>
  <sheetViews>
    <sheetView workbookViewId="0">
      <selection activeCell="J3" sqref="J3"/>
    </sheetView>
  </sheetViews>
  <sheetFormatPr baseColWidth="10" defaultRowHeight="14.4" x14ac:dyDescent="0.3"/>
  <cols>
    <col min="1" max="1" width="10.77734375" bestFit="1" customWidth="1"/>
    <col min="2" max="2" width="16.33203125" bestFit="1" customWidth="1"/>
    <col min="3" max="3" width="17.88671875" bestFit="1" customWidth="1"/>
    <col min="4" max="4" width="16.77734375" bestFit="1" customWidth="1"/>
    <col min="5" max="5" width="16.77734375" customWidth="1"/>
    <col min="6" max="6" width="27.5546875" bestFit="1" customWidth="1"/>
    <col min="7" max="7" width="19.21875" style="8" bestFit="1" customWidth="1"/>
    <col min="8" max="8" width="22.6640625" bestFit="1" customWidth="1"/>
    <col min="9" max="9" width="14" style="9" customWidth="1"/>
    <col min="10" max="10" width="15.7773437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4</v>
      </c>
      <c r="E1" t="s">
        <v>1655</v>
      </c>
      <c r="F1" t="s">
        <v>5</v>
      </c>
      <c r="G1" s="8" t="s">
        <v>6</v>
      </c>
      <c r="H1" t="s">
        <v>7</v>
      </c>
      <c r="I1" s="9" t="s">
        <v>1653</v>
      </c>
      <c r="J1" t="s">
        <v>1654</v>
      </c>
    </row>
    <row r="2" spans="1:10" x14ac:dyDescent="0.3">
      <c r="A2" t="s">
        <v>8</v>
      </c>
      <c r="B2" t="s">
        <v>9</v>
      </c>
      <c r="C2">
        <v>29</v>
      </c>
      <c r="D2" t="s">
        <v>10</v>
      </c>
      <c r="E2" t="str">
        <f>IF(Churn_part[[#This Row],[Type_Forfait]]="Pro Monde", "B2B", "B2C")</f>
        <v>B2C</v>
      </c>
      <c r="F2">
        <v>214</v>
      </c>
      <c r="G2" s="8">
        <v>74.7</v>
      </c>
      <c r="H2">
        <v>3</v>
      </c>
      <c r="I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" s="8">
        <f>Churn_part[[#This Row],[Facture_Mensuelle]]*Churn_part[[#This Row],[Remise Client]]</f>
        <v>0</v>
      </c>
    </row>
    <row r="3" spans="1:10" x14ac:dyDescent="0.3">
      <c r="A3" t="s">
        <v>11</v>
      </c>
      <c r="B3" t="s">
        <v>12</v>
      </c>
      <c r="C3">
        <v>63</v>
      </c>
      <c r="D3" t="s">
        <v>13</v>
      </c>
      <c r="E3" t="str">
        <f>IF(Churn_part[[#This Row],[Type_Forfait]]="Pro Monde", "B2B", "B2C")</f>
        <v>B2B</v>
      </c>
      <c r="F3">
        <v>205</v>
      </c>
      <c r="G3" s="8">
        <v>89.19</v>
      </c>
      <c r="H3">
        <v>0</v>
      </c>
      <c r="I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" s="8">
        <f>Churn_part[[#This Row],[Facture_Mensuelle]]*Churn_part[[#This Row],[Remise Client]]</f>
        <v>8.9190000000000005</v>
      </c>
    </row>
    <row r="4" spans="1:10" x14ac:dyDescent="0.3">
      <c r="A4" t="s">
        <v>14</v>
      </c>
      <c r="B4" t="s">
        <v>15</v>
      </c>
      <c r="C4">
        <v>34</v>
      </c>
      <c r="D4" t="s">
        <v>13</v>
      </c>
      <c r="E4" t="str">
        <f>IF(Churn_part[[#This Row],[Type_Forfait]]="Pro Monde", "B2B", "B2C")</f>
        <v>B2B</v>
      </c>
      <c r="F4">
        <v>453</v>
      </c>
      <c r="G4" s="8">
        <v>56.84</v>
      </c>
      <c r="H4">
        <v>0</v>
      </c>
      <c r="I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" s="8">
        <f>Churn_part[[#This Row],[Facture_Mensuelle]]*Churn_part[[#This Row],[Remise Client]]</f>
        <v>5.6840000000000011</v>
      </c>
    </row>
    <row r="5" spans="1:10" x14ac:dyDescent="0.3">
      <c r="A5" t="s">
        <v>16</v>
      </c>
      <c r="B5" t="s">
        <v>17</v>
      </c>
      <c r="C5">
        <v>44</v>
      </c>
      <c r="D5" t="s">
        <v>18</v>
      </c>
      <c r="E5" t="str">
        <f>IF(Churn_part[[#This Row],[Type_Forfait]]="Pro Monde", "B2B", "B2C")</f>
        <v>B2C</v>
      </c>
      <c r="F5">
        <v>348</v>
      </c>
      <c r="G5" s="8">
        <v>58.67</v>
      </c>
      <c r="H5">
        <v>0</v>
      </c>
      <c r="I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" s="8">
        <f>Churn_part[[#This Row],[Facture_Mensuelle]]*Churn_part[[#This Row],[Remise Client]]</f>
        <v>26.401500000000002</v>
      </c>
    </row>
    <row r="6" spans="1:10" x14ac:dyDescent="0.3">
      <c r="A6" t="s">
        <v>19</v>
      </c>
      <c r="B6" t="s">
        <v>20</v>
      </c>
      <c r="C6">
        <v>101</v>
      </c>
      <c r="D6" t="s">
        <v>21</v>
      </c>
      <c r="E6" t="str">
        <f>IF(Churn_part[[#This Row],[Type_Forfait]]="Pro Monde", "B2B", "B2C")</f>
        <v>B2C</v>
      </c>
      <c r="F6">
        <v>358</v>
      </c>
      <c r="G6" s="8">
        <v>29.24</v>
      </c>
      <c r="H6">
        <v>3</v>
      </c>
      <c r="I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" s="8">
        <f>Churn_part[[#This Row],[Facture_Mensuelle]]*Churn_part[[#This Row],[Remise Client]]</f>
        <v>13.157999999999999</v>
      </c>
    </row>
    <row r="7" spans="1:10" x14ac:dyDescent="0.3">
      <c r="A7" t="s">
        <v>22</v>
      </c>
      <c r="B7" t="s">
        <v>23</v>
      </c>
      <c r="C7">
        <v>46</v>
      </c>
      <c r="D7" t="s">
        <v>10</v>
      </c>
      <c r="E7" t="str">
        <f>IF(Churn_part[[#This Row],[Type_Forfait]]="Pro Monde", "B2B", "B2C")</f>
        <v>B2C</v>
      </c>
      <c r="F7">
        <v>283</v>
      </c>
      <c r="G7" s="8">
        <v>56.05</v>
      </c>
      <c r="H7">
        <v>1</v>
      </c>
      <c r="I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" s="8">
        <f>Churn_part[[#This Row],[Facture_Mensuelle]]*Churn_part[[#This Row],[Remise Client]]</f>
        <v>25.2225</v>
      </c>
    </row>
    <row r="8" spans="1:10" x14ac:dyDescent="0.3">
      <c r="A8" t="s">
        <v>24</v>
      </c>
      <c r="B8" t="s">
        <v>25</v>
      </c>
      <c r="C8">
        <v>99</v>
      </c>
      <c r="D8" t="s">
        <v>10</v>
      </c>
      <c r="E8" t="str">
        <f>IF(Churn_part[[#This Row],[Type_Forfait]]="Pro Monde", "B2B", "B2C")</f>
        <v>B2C</v>
      </c>
      <c r="F8">
        <v>447</v>
      </c>
      <c r="G8" s="8">
        <v>38.1</v>
      </c>
      <c r="H8">
        <v>3</v>
      </c>
      <c r="I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8" s="8">
        <f>Churn_part[[#This Row],[Facture_Mensuelle]]*Churn_part[[#This Row],[Remise Client]]</f>
        <v>17.145</v>
      </c>
    </row>
    <row r="9" spans="1:10" x14ac:dyDescent="0.3">
      <c r="A9" t="s">
        <v>26</v>
      </c>
      <c r="B9" t="s">
        <v>23</v>
      </c>
      <c r="C9">
        <v>6</v>
      </c>
      <c r="D9" t="s">
        <v>21</v>
      </c>
      <c r="E9" t="str">
        <f>IF(Churn_part[[#This Row],[Type_Forfait]]="Pro Monde", "B2B", "B2C")</f>
        <v>B2C</v>
      </c>
      <c r="F9">
        <v>155</v>
      </c>
      <c r="G9" s="8">
        <v>40.659999999999997</v>
      </c>
      <c r="H9">
        <v>1</v>
      </c>
      <c r="I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9" s="8">
        <f>Churn_part[[#This Row],[Facture_Mensuelle]]*Churn_part[[#This Row],[Remise Client]]</f>
        <v>0</v>
      </c>
    </row>
    <row r="10" spans="1:10" x14ac:dyDescent="0.3">
      <c r="A10" t="s">
        <v>27</v>
      </c>
      <c r="B10" t="s">
        <v>28</v>
      </c>
      <c r="C10">
        <v>99</v>
      </c>
      <c r="D10" t="s">
        <v>18</v>
      </c>
      <c r="E10" t="str">
        <f>IF(Churn_part[[#This Row],[Type_Forfait]]="Pro Monde", "B2B", "B2C")</f>
        <v>B2C</v>
      </c>
      <c r="F10">
        <v>369</v>
      </c>
      <c r="G10" s="8">
        <v>67.209999999999994</v>
      </c>
      <c r="H10">
        <v>3</v>
      </c>
      <c r="I1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0" s="8">
        <f>Churn_part[[#This Row],[Facture_Mensuelle]]*Churn_part[[#This Row],[Remise Client]]</f>
        <v>30.244499999999999</v>
      </c>
    </row>
    <row r="11" spans="1:10" x14ac:dyDescent="0.3">
      <c r="A11" t="s">
        <v>29</v>
      </c>
      <c r="B11" t="s">
        <v>30</v>
      </c>
      <c r="C11">
        <v>113</v>
      </c>
      <c r="D11" t="s">
        <v>21</v>
      </c>
      <c r="E11" t="str">
        <f>IF(Churn_part[[#This Row],[Type_Forfait]]="Pro Monde", "B2B", "B2C")</f>
        <v>B2C</v>
      </c>
      <c r="F11">
        <v>380</v>
      </c>
      <c r="G11" s="8">
        <v>12.11</v>
      </c>
      <c r="H11">
        <v>0</v>
      </c>
      <c r="I1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1" s="8">
        <f>Churn_part[[#This Row],[Facture_Mensuelle]]*Churn_part[[#This Row],[Remise Client]]</f>
        <v>5.4494999999999996</v>
      </c>
    </row>
    <row r="12" spans="1:10" x14ac:dyDescent="0.3">
      <c r="A12" t="s">
        <v>31</v>
      </c>
      <c r="B12" t="s">
        <v>32</v>
      </c>
      <c r="C12">
        <v>72</v>
      </c>
      <c r="D12" t="s">
        <v>13</v>
      </c>
      <c r="E12" t="str">
        <f>IF(Churn_part[[#This Row],[Type_Forfait]]="Pro Monde", "B2B", "B2C")</f>
        <v>B2B</v>
      </c>
      <c r="F12">
        <v>160</v>
      </c>
      <c r="G12" s="8">
        <v>90.13</v>
      </c>
      <c r="H12">
        <v>2</v>
      </c>
      <c r="I1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2" s="8">
        <f>Churn_part[[#This Row],[Facture_Mensuelle]]*Churn_part[[#This Row],[Remise Client]]</f>
        <v>9.0129999999999999</v>
      </c>
    </row>
    <row r="13" spans="1:10" x14ac:dyDescent="0.3">
      <c r="A13" t="s">
        <v>33</v>
      </c>
      <c r="B13" t="s">
        <v>34</v>
      </c>
      <c r="C13">
        <v>35</v>
      </c>
      <c r="D13" t="s">
        <v>13</v>
      </c>
      <c r="E13" t="str">
        <f>IF(Churn_part[[#This Row],[Type_Forfait]]="Pro Monde", "B2B", "B2C")</f>
        <v>B2B</v>
      </c>
      <c r="F13">
        <v>465</v>
      </c>
      <c r="G13" s="8">
        <v>58.59</v>
      </c>
      <c r="H13">
        <v>5</v>
      </c>
      <c r="I1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3" s="8">
        <f>Churn_part[[#This Row],[Facture_Mensuelle]]*Churn_part[[#This Row],[Remise Client]]</f>
        <v>5.8590000000000009</v>
      </c>
    </row>
    <row r="14" spans="1:10" x14ac:dyDescent="0.3">
      <c r="A14" t="s">
        <v>35</v>
      </c>
      <c r="B14" t="s">
        <v>36</v>
      </c>
      <c r="C14">
        <v>115</v>
      </c>
      <c r="D14" t="s">
        <v>18</v>
      </c>
      <c r="E14" t="str">
        <f>IF(Churn_part[[#This Row],[Type_Forfait]]="Pro Monde", "B2B", "B2C")</f>
        <v>B2C</v>
      </c>
      <c r="F14">
        <v>176</v>
      </c>
      <c r="G14" s="8">
        <v>33.28</v>
      </c>
      <c r="H14">
        <v>4</v>
      </c>
      <c r="I1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4" s="8">
        <f>Churn_part[[#This Row],[Facture_Mensuelle]]*Churn_part[[#This Row],[Remise Client]]</f>
        <v>0</v>
      </c>
    </row>
    <row r="15" spans="1:10" x14ac:dyDescent="0.3">
      <c r="A15" t="s">
        <v>37</v>
      </c>
      <c r="B15" t="s">
        <v>17</v>
      </c>
      <c r="C15">
        <v>20</v>
      </c>
      <c r="D15" t="s">
        <v>21</v>
      </c>
      <c r="E15" t="str">
        <f>IF(Churn_part[[#This Row],[Type_Forfait]]="Pro Monde", "B2B", "B2C")</f>
        <v>B2C</v>
      </c>
      <c r="F15">
        <v>4</v>
      </c>
      <c r="G15" s="8">
        <v>84.9</v>
      </c>
      <c r="H15">
        <v>3</v>
      </c>
      <c r="I1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5" s="8">
        <f>Churn_part[[#This Row],[Facture_Mensuelle]]*Churn_part[[#This Row],[Remise Client]]</f>
        <v>0</v>
      </c>
    </row>
    <row r="16" spans="1:10" x14ac:dyDescent="0.3">
      <c r="A16" t="s">
        <v>38</v>
      </c>
      <c r="B16" t="s">
        <v>39</v>
      </c>
      <c r="C16">
        <v>110</v>
      </c>
      <c r="D16" t="s">
        <v>13</v>
      </c>
      <c r="E16" t="str">
        <f>IF(Churn_part[[#This Row],[Type_Forfait]]="Pro Monde", "B2B", "B2C")</f>
        <v>B2B</v>
      </c>
      <c r="F16">
        <v>423</v>
      </c>
      <c r="G16" s="8">
        <v>37.35</v>
      </c>
      <c r="H16">
        <v>4</v>
      </c>
      <c r="I1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6" s="8">
        <f>Churn_part[[#This Row],[Facture_Mensuelle]]*Churn_part[[#This Row],[Remise Client]]</f>
        <v>3.7350000000000003</v>
      </c>
    </row>
    <row r="17" spans="1:10" x14ac:dyDescent="0.3">
      <c r="A17" t="s">
        <v>40</v>
      </c>
      <c r="B17" t="s">
        <v>12</v>
      </c>
      <c r="C17">
        <v>89</v>
      </c>
      <c r="D17" t="s">
        <v>10</v>
      </c>
      <c r="E17" t="str">
        <f>IF(Churn_part[[#This Row],[Type_Forfait]]="Pro Monde", "B2B", "B2C")</f>
        <v>B2C</v>
      </c>
      <c r="F17">
        <v>143</v>
      </c>
      <c r="G17" s="8">
        <v>48.05</v>
      </c>
      <c r="H17">
        <v>4</v>
      </c>
      <c r="I1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7" s="8">
        <f>Churn_part[[#This Row],[Facture_Mensuelle]]*Churn_part[[#This Row],[Remise Client]]</f>
        <v>0</v>
      </c>
    </row>
    <row r="18" spans="1:10" x14ac:dyDescent="0.3">
      <c r="A18" t="s">
        <v>41</v>
      </c>
      <c r="B18" t="s">
        <v>25</v>
      </c>
      <c r="C18">
        <v>112</v>
      </c>
      <c r="D18" t="s">
        <v>10</v>
      </c>
      <c r="E18" t="str">
        <f>IF(Churn_part[[#This Row],[Type_Forfait]]="Pro Monde", "B2B", "B2C")</f>
        <v>B2C</v>
      </c>
      <c r="F18">
        <v>460</v>
      </c>
      <c r="G18" s="8">
        <v>55.47</v>
      </c>
      <c r="H18">
        <v>4</v>
      </c>
      <c r="I1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8" s="8">
        <f>Churn_part[[#This Row],[Facture_Mensuelle]]*Churn_part[[#This Row],[Remise Client]]</f>
        <v>24.961500000000001</v>
      </c>
    </row>
    <row r="19" spans="1:10" x14ac:dyDescent="0.3">
      <c r="A19" t="s">
        <v>42</v>
      </c>
      <c r="B19" t="s">
        <v>43</v>
      </c>
      <c r="C19">
        <v>66</v>
      </c>
      <c r="D19" t="s">
        <v>21</v>
      </c>
      <c r="E19" t="str">
        <f>IF(Churn_part[[#This Row],[Type_Forfait]]="Pro Monde", "B2B", "B2C")</f>
        <v>B2C</v>
      </c>
      <c r="F19">
        <v>270</v>
      </c>
      <c r="G19" s="8">
        <v>75.88</v>
      </c>
      <c r="H19">
        <v>3</v>
      </c>
      <c r="I1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9" s="8">
        <f>Churn_part[[#This Row],[Facture_Mensuelle]]*Churn_part[[#This Row],[Remise Client]]</f>
        <v>34.146000000000001</v>
      </c>
    </row>
    <row r="20" spans="1:10" x14ac:dyDescent="0.3">
      <c r="A20" t="s">
        <v>44</v>
      </c>
      <c r="B20" t="s">
        <v>28</v>
      </c>
      <c r="C20">
        <v>78</v>
      </c>
      <c r="D20" t="s">
        <v>18</v>
      </c>
      <c r="E20" t="str">
        <f>IF(Churn_part[[#This Row],[Type_Forfait]]="Pro Monde", "B2B", "B2C")</f>
        <v>B2C</v>
      </c>
      <c r="F20">
        <v>312</v>
      </c>
      <c r="G20" s="8">
        <v>85.74</v>
      </c>
      <c r="H20">
        <v>2</v>
      </c>
      <c r="I2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0" s="8">
        <f>Churn_part[[#This Row],[Facture_Mensuelle]]*Churn_part[[#This Row],[Remise Client]]</f>
        <v>38.582999999999998</v>
      </c>
    </row>
    <row r="21" spans="1:10" x14ac:dyDescent="0.3">
      <c r="A21" t="s">
        <v>45</v>
      </c>
      <c r="B21" t="s">
        <v>32</v>
      </c>
      <c r="C21">
        <v>86</v>
      </c>
      <c r="D21" t="s">
        <v>10</v>
      </c>
      <c r="E21" t="str">
        <f>IF(Churn_part[[#This Row],[Type_Forfait]]="Pro Monde", "B2B", "B2C")</f>
        <v>B2C</v>
      </c>
      <c r="F21">
        <v>471</v>
      </c>
      <c r="G21" s="8">
        <v>33.380000000000003</v>
      </c>
      <c r="H21">
        <v>4</v>
      </c>
      <c r="I2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1" s="8">
        <f>Churn_part[[#This Row],[Facture_Mensuelle]]*Churn_part[[#This Row],[Remise Client]]</f>
        <v>15.021000000000001</v>
      </c>
    </row>
    <row r="22" spans="1:10" x14ac:dyDescent="0.3">
      <c r="A22" t="s">
        <v>46</v>
      </c>
      <c r="B22" t="s">
        <v>28</v>
      </c>
      <c r="C22">
        <v>14</v>
      </c>
      <c r="D22" t="s">
        <v>10</v>
      </c>
      <c r="E22" t="str">
        <f>IF(Churn_part[[#This Row],[Type_Forfait]]="Pro Monde", "B2B", "B2C")</f>
        <v>B2C</v>
      </c>
      <c r="F22">
        <v>75</v>
      </c>
      <c r="G22" s="8">
        <v>55.67</v>
      </c>
      <c r="H22">
        <v>3</v>
      </c>
      <c r="I2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2" s="8">
        <f>Churn_part[[#This Row],[Facture_Mensuelle]]*Churn_part[[#This Row],[Remise Client]]</f>
        <v>0</v>
      </c>
    </row>
    <row r="23" spans="1:10" x14ac:dyDescent="0.3">
      <c r="A23" t="s">
        <v>47</v>
      </c>
      <c r="B23" t="s">
        <v>30</v>
      </c>
      <c r="C23">
        <v>91</v>
      </c>
      <c r="D23" t="s">
        <v>13</v>
      </c>
      <c r="E23" t="str">
        <f>IF(Churn_part[[#This Row],[Type_Forfait]]="Pro Monde", "B2B", "B2C")</f>
        <v>B2B</v>
      </c>
      <c r="F23">
        <v>358</v>
      </c>
      <c r="G23" s="8">
        <v>21.14</v>
      </c>
      <c r="H23">
        <v>5</v>
      </c>
      <c r="I2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3" s="8">
        <f>Churn_part[[#This Row],[Facture_Mensuelle]]*Churn_part[[#This Row],[Remise Client]]</f>
        <v>2.1140000000000003</v>
      </c>
    </row>
    <row r="24" spans="1:10" x14ac:dyDescent="0.3">
      <c r="A24" t="s">
        <v>48</v>
      </c>
      <c r="B24" t="s">
        <v>25</v>
      </c>
      <c r="C24">
        <v>7</v>
      </c>
      <c r="D24" t="s">
        <v>10</v>
      </c>
      <c r="E24" t="str">
        <f>IF(Churn_part[[#This Row],[Type_Forfait]]="Pro Monde", "B2B", "B2C")</f>
        <v>B2C</v>
      </c>
      <c r="F24">
        <v>206</v>
      </c>
      <c r="G24" s="8">
        <v>78.09</v>
      </c>
      <c r="H24">
        <v>3</v>
      </c>
      <c r="I2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4" s="8">
        <f>Churn_part[[#This Row],[Facture_Mensuelle]]*Churn_part[[#This Row],[Remise Client]]</f>
        <v>0</v>
      </c>
    </row>
    <row r="25" spans="1:10" x14ac:dyDescent="0.3">
      <c r="A25" t="s">
        <v>49</v>
      </c>
      <c r="B25" t="s">
        <v>50</v>
      </c>
      <c r="C25">
        <v>119</v>
      </c>
      <c r="D25" t="s">
        <v>21</v>
      </c>
      <c r="E25" t="str">
        <f>IF(Churn_part[[#This Row],[Type_Forfait]]="Pro Monde", "B2B", "B2C")</f>
        <v>B2C</v>
      </c>
      <c r="F25">
        <v>228</v>
      </c>
      <c r="G25" s="8">
        <v>94.72</v>
      </c>
      <c r="H25">
        <v>3</v>
      </c>
      <c r="I2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5" s="8">
        <f>Churn_part[[#This Row],[Facture_Mensuelle]]*Churn_part[[#This Row],[Remise Client]]</f>
        <v>0</v>
      </c>
    </row>
    <row r="26" spans="1:10" x14ac:dyDescent="0.3">
      <c r="A26" t="s">
        <v>51</v>
      </c>
      <c r="B26" t="s">
        <v>23</v>
      </c>
      <c r="C26">
        <v>57</v>
      </c>
      <c r="D26" t="s">
        <v>21</v>
      </c>
      <c r="E26" t="str">
        <f>IF(Churn_part[[#This Row],[Type_Forfait]]="Pro Monde", "B2B", "B2C")</f>
        <v>B2C</v>
      </c>
      <c r="F26">
        <v>329</v>
      </c>
      <c r="G26" s="8">
        <v>50.39</v>
      </c>
      <c r="H26">
        <v>5</v>
      </c>
      <c r="I2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6" s="8">
        <f>Churn_part[[#This Row],[Facture_Mensuelle]]*Churn_part[[#This Row],[Remise Client]]</f>
        <v>22.6755</v>
      </c>
    </row>
    <row r="27" spans="1:10" x14ac:dyDescent="0.3">
      <c r="A27" t="s">
        <v>52</v>
      </c>
      <c r="B27" t="s">
        <v>9</v>
      </c>
      <c r="C27">
        <v>103</v>
      </c>
      <c r="D27" t="s">
        <v>13</v>
      </c>
      <c r="E27" t="str">
        <f>IF(Churn_part[[#This Row],[Type_Forfait]]="Pro Monde", "B2B", "B2C")</f>
        <v>B2B</v>
      </c>
      <c r="F27">
        <v>105</v>
      </c>
      <c r="G27" s="8">
        <v>61.52</v>
      </c>
      <c r="H27">
        <v>3</v>
      </c>
      <c r="I2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7" s="8">
        <f>Churn_part[[#This Row],[Facture_Mensuelle]]*Churn_part[[#This Row],[Remise Client]]</f>
        <v>6.152000000000001</v>
      </c>
    </row>
    <row r="28" spans="1:10" x14ac:dyDescent="0.3">
      <c r="A28" t="s">
        <v>53</v>
      </c>
      <c r="B28" t="s">
        <v>25</v>
      </c>
      <c r="C28">
        <v>59</v>
      </c>
      <c r="D28" t="s">
        <v>21</v>
      </c>
      <c r="E28" t="str">
        <f>IF(Churn_part[[#This Row],[Type_Forfait]]="Pro Monde", "B2B", "B2C")</f>
        <v>B2C</v>
      </c>
      <c r="F28">
        <v>454</v>
      </c>
      <c r="G28" s="8">
        <v>10.47</v>
      </c>
      <c r="H28">
        <v>5</v>
      </c>
      <c r="I2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8" s="8">
        <f>Churn_part[[#This Row],[Facture_Mensuelle]]*Churn_part[[#This Row],[Remise Client]]</f>
        <v>4.7115</v>
      </c>
    </row>
    <row r="29" spans="1:10" x14ac:dyDescent="0.3">
      <c r="A29" t="s">
        <v>54</v>
      </c>
      <c r="B29" t="s">
        <v>34</v>
      </c>
      <c r="C29">
        <v>108</v>
      </c>
      <c r="D29" t="s">
        <v>21</v>
      </c>
      <c r="E29" t="str">
        <f>IF(Churn_part[[#This Row],[Type_Forfait]]="Pro Monde", "B2B", "B2C")</f>
        <v>B2C</v>
      </c>
      <c r="F29">
        <v>278</v>
      </c>
      <c r="G29" s="8">
        <v>40.51</v>
      </c>
      <c r="H29">
        <v>3</v>
      </c>
      <c r="I2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9" s="8">
        <f>Churn_part[[#This Row],[Facture_Mensuelle]]*Churn_part[[#This Row],[Remise Client]]</f>
        <v>18.229499999999998</v>
      </c>
    </row>
    <row r="30" spans="1:10" x14ac:dyDescent="0.3">
      <c r="A30" t="s">
        <v>55</v>
      </c>
      <c r="B30" t="s">
        <v>56</v>
      </c>
      <c r="C30">
        <v>97</v>
      </c>
      <c r="D30" t="s">
        <v>13</v>
      </c>
      <c r="E30" t="str">
        <f>IF(Churn_part[[#This Row],[Type_Forfait]]="Pro Monde", "B2B", "B2C")</f>
        <v>B2B</v>
      </c>
      <c r="F30">
        <v>319</v>
      </c>
      <c r="G30" s="8">
        <v>31.25</v>
      </c>
      <c r="H30">
        <v>1</v>
      </c>
      <c r="I3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0" s="8">
        <f>Churn_part[[#This Row],[Facture_Mensuelle]]*Churn_part[[#This Row],[Remise Client]]</f>
        <v>3.125</v>
      </c>
    </row>
    <row r="31" spans="1:10" x14ac:dyDescent="0.3">
      <c r="A31" t="s">
        <v>57</v>
      </c>
      <c r="B31" t="s">
        <v>32</v>
      </c>
      <c r="C31">
        <v>15</v>
      </c>
      <c r="D31" t="s">
        <v>13</v>
      </c>
      <c r="E31" t="str">
        <f>IF(Churn_part[[#This Row],[Type_Forfait]]="Pro Monde", "B2B", "B2C")</f>
        <v>B2B</v>
      </c>
      <c r="F31">
        <v>403</v>
      </c>
      <c r="G31" s="8">
        <v>77.12</v>
      </c>
      <c r="H31">
        <v>1</v>
      </c>
      <c r="I3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1" s="8">
        <f>Churn_part[[#This Row],[Facture_Mensuelle]]*Churn_part[[#This Row],[Remise Client]]</f>
        <v>7.7120000000000006</v>
      </c>
    </row>
    <row r="32" spans="1:10" x14ac:dyDescent="0.3">
      <c r="A32" t="s">
        <v>58</v>
      </c>
      <c r="B32" t="s">
        <v>59</v>
      </c>
      <c r="C32">
        <v>14</v>
      </c>
      <c r="D32" t="s">
        <v>13</v>
      </c>
      <c r="E32" t="str">
        <f>IF(Churn_part[[#This Row],[Type_Forfait]]="Pro Monde", "B2B", "B2C")</f>
        <v>B2B</v>
      </c>
      <c r="F32">
        <v>316</v>
      </c>
      <c r="G32" s="8">
        <v>62.34</v>
      </c>
      <c r="H32">
        <v>4</v>
      </c>
      <c r="I3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2" s="8">
        <f>Churn_part[[#This Row],[Facture_Mensuelle]]*Churn_part[[#This Row],[Remise Client]]</f>
        <v>6.2340000000000009</v>
      </c>
    </row>
    <row r="33" spans="1:10" x14ac:dyDescent="0.3">
      <c r="A33" t="s">
        <v>60</v>
      </c>
      <c r="B33" t="s">
        <v>61</v>
      </c>
      <c r="C33">
        <v>101</v>
      </c>
      <c r="D33" t="s">
        <v>13</v>
      </c>
      <c r="E33" t="str">
        <f>IF(Churn_part[[#This Row],[Type_Forfait]]="Pro Monde", "B2B", "B2C")</f>
        <v>B2B</v>
      </c>
      <c r="F33">
        <v>333</v>
      </c>
      <c r="G33" s="8">
        <v>74.319999999999993</v>
      </c>
      <c r="H33">
        <v>1</v>
      </c>
      <c r="I3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3" s="8">
        <f>Churn_part[[#This Row],[Facture_Mensuelle]]*Churn_part[[#This Row],[Remise Client]]</f>
        <v>7.4319999999999995</v>
      </c>
    </row>
    <row r="34" spans="1:10" x14ac:dyDescent="0.3">
      <c r="A34" t="s">
        <v>62</v>
      </c>
      <c r="B34" t="s">
        <v>63</v>
      </c>
      <c r="C34">
        <v>79</v>
      </c>
      <c r="D34" t="s">
        <v>10</v>
      </c>
      <c r="E34" t="str">
        <f>IF(Churn_part[[#This Row],[Type_Forfait]]="Pro Monde", "B2B", "B2C")</f>
        <v>B2C</v>
      </c>
      <c r="F34">
        <v>226</v>
      </c>
      <c r="G34" s="8">
        <v>94.38</v>
      </c>
      <c r="H34">
        <v>3</v>
      </c>
      <c r="I3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4" s="8">
        <f>Churn_part[[#This Row],[Facture_Mensuelle]]*Churn_part[[#This Row],[Remise Client]]</f>
        <v>0</v>
      </c>
    </row>
    <row r="35" spans="1:10" x14ac:dyDescent="0.3">
      <c r="A35" t="s">
        <v>64</v>
      </c>
      <c r="B35" t="s">
        <v>20</v>
      </c>
      <c r="C35">
        <v>79</v>
      </c>
      <c r="D35" t="s">
        <v>18</v>
      </c>
      <c r="E35" t="str">
        <f>IF(Churn_part[[#This Row],[Type_Forfait]]="Pro Monde", "B2B", "B2C")</f>
        <v>B2C</v>
      </c>
      <c r="F35">
        <v>357</v>
      </c>
      <c r="G35" s="8">
        <v>69.900000000000006</v>
      </c>
      <c r="H35">
        <v>5</v>
      </c>
      <c r="I3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5" s="8">
        <f>Churn_part[[#This Row],[Facture_Mensuelle]]*Churn_part[[#This Row],[Remise Client]]</f>
        <v>31.455000000000002</v>
      </c>
    </row>
    <row r="36" spans="1:10" x14ac:dyDescent="0.3">
      <c r="A36" t="s">
        <v>65</v>
      </c>
      <c r="B36" t="s">
        <v>66</v>
      </c>
      <c r="C36">
        <v>101</v>
      </c>
      <c r="D36" t="s">
        <v>13</v>
      </c>
      <c r="E36" t="str">
        <f>IF(Churn_part[[#This Row],[Type_Forfait]]="Pro Monde", "B2B", "B2C")</f>
        <v>B2B</v>
      </c>
      <c r="F36">
        <v>176</v>
      </c>
      <c r="G36" s="8">
        <v>86</v>
      </c>
      <c r="H36">
        <v>3</v>
      </c>
      <c r="I3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6" s="8">
        <f>Churn_part[[#This Row],[Facture_Mensuelle]]*Churn_part[[#This Row],[Remise Client]]</f>
        <v>8.6</v>
      </c>
    </row>
    <row r="37" spans="1:10" x14ac:dyDescent="0.3">
      <c r="A37" t="s">
        <v>67</v>
      </c>
      <c r="B37" t="s">
        <v>20</v>
      </c>
      <c r="C37">
        <v>110</v>
      </c>
      <c r="D37" t="s">
        <v>21</v>
      </c>
      <c r="E37" t="str">
        <f>IF(Churn_part[[#This Row],[Type_Forfait]]="Pro Monde", "B2B", "B2C")</f>
        <v>B2C</v>
      </c>
      <c r="F37">
        <v>454</v>
      </c>
      <c r="G37" s="8">
        <v>31.05</v>
      </c>
      <c r="H37">
        <v>1</v>
      </c>
      <c r="I3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7" s="8">
        <f>Churn_part[[#This Row],[Facture_Mensuelle]]*Churn_part[[#This Row],[Remise Client]]</f>
        <v>13.9725</v>
      </c>
    </row>
    <row r="38" spans="1:10" x14ac:dyDescent="0.3">
      <c r="A38" t="s">
        <v>68</v>
      </c>
      <c r="B38" t="s">
        <v>12</v>
      </c>
      <c r="C38">
        <v>14</v>
      </c>
      <c r="D38" t="s">
        <v>18</v>
      </c>
      <c r="E38" t="str">
        <f>IF(Churn_part[[#This Row],[Type_Forfait]]="Pro Monde", "B2B", "B2C")</f>
        <v>B2C</v>
      </c>
      <c r="F38">
        <v>415</v>
      </c>
      <c r="G38" s="8">
        <v>36.93</v>
      </c>
      <c r="H38">
        <v>5</v>
      </c>
      <c r="I3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8" s="8">
        <f>Churn_part[[#This Row],[Facture_Mensuelle]]*Churn_part[[#This Row],[Remise Client]]</f>
        <v>16.618500000000001</v>
      </c>
    </row>
    <row r="39" spans="1:10" x14ac:dyDescent="0.3">
      <c r="A39" t="s">
        <v>69</v>
      </c>
      <c r="B39" t="s">
        <v>28</v>
      </c>
      <c r="C39">
        <v>106</v>
      </c>
      <c r="D39" t="s">
        <v>18</v>
      </c>
      <c r="E39" t="str">
        <f>IF(Churn_part[[#This Row],[Type_Forfait]]="Pro Monde", "B2B", "B2C")</f>
        <v>B2C</v>
      </c>
      <c r="F39">
        <v>400</v>
      </c>
      <c r="G39" s="8">
        <v>70.02</v>
      </c>
      <c r="H39">
        <v>4</v>
      </c>
      <c r="I3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9" s="8">
        <f>Churn_part[[#This Row],[Facture_Mensuelle]]*Churn_part[[#This Row],[Remise Client]]</f>
        <v>31.509</v>
      </c>
    </row>
    <row r="40" spans="1:10" x14ac:dyDescent="0.3">
      <c r="A40" t="s">
        <v>70</v>
      </c>
      <c r="B40" t="s">
        <v>28</v>
      </c>
      <c r="C40">
        <v>72</v>
      </c>
      <c r="D40" t="s">
        <v>18</v>
      </c>
      <c r="E40" t="str">
        <f>IF(Churn_part[[#This Row],[Type_Forfait]]="Pro Monde", "B2B", "B2C")</f>
        <v>B2C</v>
      </c>
      <c r="F40">
        <v>332</v>
      </c>
      <c r="G40" s="8">
        <v>83.36</v>
      </c>
      <c r="H40">
        <v>4</v>
      </c>
      <c r="I4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0" s="8">
        <f>Churn_part[[#This Row],[Facture_Mensuelle]]*Churn_part[[#This Row],[Remise Client]]</f>
        <v>37.512</v>
      </c>
    </row>
    <row r="41" spans="1:10" x14ac:dyDescent="0.3">
      <c r="A41" t="s">
        <v>71</v>
      </c>
      <c r="B41" t="s">
        <v>72</v>
      </c>
      <c r="C41">
        <v>6</v>
      </c>
      <c r="D41" t="s">
        <v>10</v>
      </c>
      <c r="E41" t="str">
        <f>IF(Churn_part[[#This Row],[Type_Forfait]]="Pro Monde", "B2B", "B2C")</f>
        <v>B2C</v>
      </c>
      <c r="F41">
        <v>207</v>
      </c>
      <c r="G41" s="8">
        <v>61.55</v>
      </c>
      <c r="H41">
        <v>0</v>
      </c>
      <c r="I4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1" s="8">
        <f>Churn_part[[#This Row],[Facture_Mensuelle]]*Churn_part[[#This Row],[Remise Client]]</f>
        <v>0</v>
      </c>
    </row>
    <row r="42" spans="1:10" x14ac:dyDescent="0.3">
      <c r="A42" t="s">
        <v>73</v>
      </c>
      <c r="B42" t="s">
        <v>61</v>
      </c>
      <c r="C42">
        <v>65</v>
      </c>
      <c r="D42" t="s">
        <v>10</v>
      </c>
      <c r="E42" t="str">
        <f>IF(Churn_part[[#This Row],[Type_Forfait]]="Pro Monde", "B2B", "B2C")</f>
        <v>B2C</v>
      </c>
      <c r="F42">
        <v>397</v>
      </c>
      <c r="G42" s="8">
        <v>22.6</v>
      </c>
      <c r="H42">
        <v>5</v>
      </c>
      <c r="I4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2" s="8">
        <f>Churn_part[[#This Row],[Facture_Mensuelle]]*Churn_part[[#This Row],[Remise Client]]</f>
        <v>10.170000000000002</v>
      </c>
    </row>
    <row r="43" spans="1:10" x14ac:dyDescent="0.3">
      <c r="A43" t="s">
        <v>74</v>
      </c>
      <c r="B43" t="s">
        <v>23</v>
      </c>
      <c r="C43">
        <v>14</v>
      </c>
      <c r="D43" t="s">
        <v>13</v>
      </c>
      <c r="E43" t="str">
        <f>IF(Churn_part[[#This Row],[Type_Forfait]]="Pro Monde", "B2B", "B2C")</f>
        <v>B2B</v>
      </c>
      <c r="F43">
        <v>101</v>
      </c>
      <c r="G43" s="8">
        <v>43.99</v>
      </c>
      <c r="H43">
        <v>1</v>
      </c>
      <c r="I4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3" s="8">
        <f>Churn_part[[#This Row],[Facture_Mensuelle]]*Churn_part[[#This Row],[Remise Client]]</f>
        <v>4.399</v>
      </c>
    </row>
    <row r="44" spans="1:10" x14ac:dyDescent="0.3">
      <c r="A44" t="s">
        <v>75</v>
      </c>
      <c r="B44" t="s">
        <v>39</v>
      </c>
      <c r="C44">
        <v>22</v>
      </c>
      <c r="D44" t="s">
        <v>21</v>
      </c>
      <c r="E44" t="str">
        <f>IF(Churn_part[[#This Row],[Type_Forfait]]="Pro Monde", "B2B", "B2C")</f>
        <v>B2C</v>
      </c>
      <c r="F44">
        <v>451</v>
      </c>
      <c r="G44" s="8">
        <v>76.38</v>
      </c>
      <c r="H44">
        <v>3</v>
      </c>
      <c r="I4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4" s="8">
        <f>Churn_part[[#This Row],[Facture_Mensuelle]]*Churn_part[[#This Row],[Remise Client]]</f>
        <v>34.371000000000002</v>
      </c>
    </row>
    <row r="45" spans="1:10" x14ac:dyDescent="0.3">
      <c r="A45" t="s">
        <v>76</v>
      </c>
      <c r="B45" t="s">
        <v>77</v>
      </c>
      <c r="C45">
        <v>81</v>
      </c>
      <c r="D45" t="s">
        <v>13</v>
      </c>
      <c r="E45" t="str">
        <f>IF(Churn_part[[#This Row],[Type_Forfait]]="Pro Monde", "B2B", "B2C")</f>
        <v>B2B</v>
      </c>
      <c r="F45">
        <v>154</v>
      </c>
      <c r="G45" s="8">
        <v>19.47</v>
      </c>
      <c r="H45">
        <v>3</v>
      </c>
      <c r="I4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5" s="8">
        <f>Churn_part[[#This Row],[Facture_Mensuelle]]*Churn_part[[#This Row],[Remise Client]]</f>
        <v>1.9470000000000001</v>
      </c>
    </row>
    <row r="46" spans="1:10" x14ac:dyDescent="0.3">
      <c r="A46" t="s">
        <v>78</v>
      </c>
      <c r="B46" t="s">
        <v>9</v>
      </c>
      <c r="C46">
        <v>16</v>
      </c>
      <c r="D46" t="s">
        <v>18</v>
      </c>
      <c r="E46" t="str">
        <f>IF(Churn_part[[#This Row],[Type_Forfait]]="Pro Monde", "B2B", "B2C")</f>
        <v>B2C</v>
      </c>
      <c r="F46">
        <v>43</v>
      </c>
      <c r="G46" s="8">
        <v>56.48</v>
      </c>
      <c r="H46">
        <v>0</v>
      </c>
      <c r="I4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6" s="8">
        <f>Churn_part[[#This Row],[Facture_Mensuelle]]*Churn_part[[#This Row],[Remise Client]]</f>
        <v>0</v>
      </c>
    </row>
    <row r="47" spans="1:10" x14ac:dyDescent="0.3">
      <c r="A47" t="s">
        <v>79</v>
      </c>
      <c r="B47" t="s">
        <v>50</v>
      </c>
      <c r="C47">
        <v>112</v>
      </c>
      <c r="D47" t="s">
        <v>13</v>
      </c>
      <c r="E47" t="str">
        <f>IF(Churn_part[[#This Row],[Type_Forfait]]="Pro Monde", "B2B", "B2C")</f>
        <v>B2B</v>
      </c>
      <c r="F47">
        <v>18</v>
      </c>
      <c r="G47" s="8">
        <v>27.33</v>
      </c>
      <c r="H47">
        <v>5</v>
      </c>
      <c r="I4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7" s="8">
        <f>Churn_part[[#This Row],[Facture_Mensuelle]]*Churn_part[[#This Row],[Remise Client]]</f>
        <v>2.7330000000000001</v>
      </c>
    </row>
    <row r="48" spans="1:10" x14ac:dyDescent="0.3">
      <c r="A48" t="s">
        <v>80</v>
      </c>
      <c r="B48" t="s">
        <v>30</v>
      </c>
      <c r="C48">
        <v>27</v>
      </c>
      <c r="D48" t="s">
        <v>18</v>
      </c>
      <c r="E48" t="str">
        <f>IF(Churn_part[[#This Row],[Type_Forfait]]="Pro Monde", "B2B", "B2C")</f>
        <v>B2C</v>
      </c>
      <c r="F48">
        <v>275</v>
      </c>
      <c r="G48" s="8">
        <v>80.069999999999993</v>
      </c>
      <c r="H48">
        <v>1</v>
      </c>
      <c r="I4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8" s="8">
        <f>Churn_part[[#This Row],[Facture_Mensuelle]]*Churn_part[[#This Row],[Remise Client]]</f>
        <v>36.031500000000001</v>
      </c>
    </row>
    <row r="49" spans="1:10" x14ac:dyDescent="0.3">
      <c r="A49" t="s">
        <v>81</v>
      </c>
      <c r="B49" t="s">
        <v>56</v>
      </c>
      <c r="C49">
        <v>117</v>
      </c>
      <c r="D49" t="s">
        <v>21</v>
      </c>
      <c r="E49" t="str">
        <f>IF(Churn_part[[#This Row],[Type_Forfait]]="Pro Monde", "B2B", "B2C")</f>
        <v>B2C</v>
      </c>
      <c r="F49">
        <v>171</v>
      </c>
      <c r="G49" s="8">
        <v>50.89</v>
      </c>
      <c r="H49">
        <v>4</v>
      </c>
      <c r="I4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9" s="8">
        <f>Churn_part[[#This Row],[Facture_Mensuelle]]*Churn_part[[#This Row],[Remise Client]]</f>
        <v>0</v>
      </c>
    </row>
    <row r="50" spans="1:10" x14ac:dyDescent="0.3">
      <c r="A50" t="s">
        <v>82</v>
      </c>
      <c r="B50" t="s">
        <v>50</v>
      </c>
      <c r="C50">
        <v>47</v>
      </c>
      <c r="D50" t="s">
        <v>18</v>
      </c>
      <c r="E50" t="str">
        <f>IF(Churn_part[[#This Row],[Type_Forfait]]="Pro Monde", "B2B", "B2C")</f>
        <v>B2C</v>
      </c>
      <c r="F50">
        <v>199</v>
      </c>
      <c r="G50" s="8">
        <v>23.19</v>
      </c>
      <c r="H50">
        <v>2</v>
      </c>
      <c r="I5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0" s="8">
        <f>Churn_part[[#This Row],[Facture_Mensuelle]]*Churn_part[[#This Row],[Remise Client]]</f>
        <v>0</v>
      </c>
    </row>
    <row r="51" spans="1:10" x14ac:dyDescent="0.3">
      <c r="A51" t="s">
        <v>83</v>
      </c>
      <c r="B51" t="s">
        <v>59</v>
      </c>
      <c r="C51">
        <v>21</v>
      </c>
      <c r="D51" t="s">
        <v>10</v>
      </c>
      <c r="E51" t="str">
        <f>IF(Churn_part[[#This Row],[Type_Forfait]]="Pro Monde", "B2B", "B2C")</f>
        <v>B2C</v>
      </c>
      <c r="F51">
        <v>371</v>
      </c>
      <c r="G51" s="8">
        <v>48.31</v>
      </c>
      <c r="H51">
        <v>0</v>
      </c>
      <c r="I5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1" s="8">
        <f>Churn_part[[#This Row],[Facture_Mensuelle]]*Churn_part[[#This Row],[Remise Client]]</f>
        <v>21.739500000000003</v>
      </c>
    </row>
    <row r="52" spans="1:10" x14ac:dyDescent="0.3">
      <c r="A52" t="s">
        <v>84</v>
      </c>
      <c r="B52" t="s">
        <v>50</v>
      </c>
      <c r="C52">
        <v>82</v>
      </c>
      <c r="D52" t="s">
        <v>18</v>
      </c>
      <c r="E52" t="str">
        <f>IF(Churn_part[[#This Row],[Type_Forfait]]="Pro Monde", "B2B", "B2C")</f>
        <v>B2C</v>
      </c>
      <c r="F52">
        <v>132</v>
      </c>
      <c r="G52" s="8">
        <v>50.14</v>
      </c>
      <c r="H52">
        <v>5</v>
      </c>
      <c r="I5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2" s="8">
        <f>Churn_part[[#This Row],[Facture_Mensuelle]]*Churn_part[[#This Row],[Remise Client]]</f>
        <v>0</v>
      </c>
    </row>
    <row r="53" spans="1:10" x14ac:dyDescent="0.3">
      <c r="A53" t="s">
        <v>85</v>
      </c>
      <c r="B53" t="s">
        <v>20</v>
      </c>
      <c r="C53">
        <v>59</v>
      </c>
      <c r="D53" t="s">
        <v>21</v>
      </c>
      <c r="E53" t="str">
        <f>IF(Churn_part[[#This Row],[Type_Forfait]]="Pro Monde", "B2B", "B2C")</f>
        <v>B2C</v>
      </c>
      <c r="F53">
        <v>192</v>
      </c>
      <c r="G53" s="8">
        <v>86.17</v>
      </c>
      <c r="H53">
        <v>1</v>
      </c>
      <c r="I5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3" s="8">
        <f>Churn_part[[#This Row],[Facture_Mensuelle]]*Churn_part[[#This Row],[Remise Client]]</f>
        <v>0</v>
      </c>
    </row>
    <row r="54" spans="1:10" x14ac:dyDescent="0.3">
      <c r="A54" t="s">
        <v>86</v>
      </c>
      <c r="B54" t="s">
        <v>87</v>
      </c>
      <c r="C54">
        <v>98</v>
      </c>
      <c r="D54" t="s">
        <v>13</v>
      </c>
      <c r="E54" t="str">
        <f>IF(Churn_part[[#This Row],[Type_Forfait]]="Pro Monde", "B2B", "B2C")</f>
        <v>B2B</v>
      </c>
      <c r="F54">
        <v>482</v>
      </c>
      <c r="G54" s="8">
        <v>55.04</v>
      </c>
      <c r="H54">
        <v>5</v>
      </c>
      <c r="I5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4" s="8">
        <f>Churn_part[[#This Row],[Facture_Mensuelle]]*Churn_part[[#This Row],[Remise Client]]</f>
        <v>5.5040000000000004</v>
      </c>
    </row>
    <row r="55" spans="1:10" x14ac:dyDescent="0.3">
      <c r="A55" t="s">
        <v>88</v>
      </c>
      <c r="B55" t="s">
        <v>34</v>
      </c>
      <c r="C55">
        <v>58</v>
      </c>
      <c r="D55" t="s">
        <v>18</v>
      </c>
      <c r="E55" t="str">
        <f>IF(Churn_part[[#This Row],[Type_Forfait]]="Pro Monde", "B2B", "B2C")</f>
        <v>B2C</v>
      </c>
      <c r="F55">
        <v>423</v>
      </c>
      <c r="G55" s="8">
        <v>80.459999999999994</v>
      </c>
      <c r="H55">
        <v>0</v>
      </c>
      <c r="I5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5" s="8">
        <f>Churn_part[[#This Row],[Facture_Mensuelle]]*Churn_part[[#This Row],[Remise Client]]</f>
        <v>36.207000000000001</v>
      </c>
    </row>
    <row r="56" spans="1:10" x14ac:dyDescent="0.3">
      <c r="A56" t="s">
        <v>89</v>
      </c>
      <c r="B56" t="s">
        <v>61</v>
      </c>
      <c r="C56">
        <v>86</v>
      </c>
      <c r="D56" t="s">
        <v>18</v>
      </c>
      <c r="E56" t="str">
        <f>IF(Churn_part[[#This Row],[Type_Forfait]]="Pro Monde", "B2B", "B2C")</f>
        <v>B2C</v>
      </c>
      <c r="F56">
        <v>460</v>
      </c>
      <c r="G56" s="8">
        <v>22.81</v>
      </c>
      <c r="H56">
        <v>4</v>
      </c>
      <c r="I5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6" s="8">
        <f>Churn_part[[#This Row],[Facture_Mensuelle]]*Churn_part[[#This Row],[Remise Client]]</f>
        <v>10.2645</v>
      </c>
    </row>
    <row r="57" spans="1:10" x14ac:dyDescent="0.3">
      <c r="A57" t="s">
        <v>90</v>
      </c>
      <c r="B57" t="s">
        <v>72</v>
      </c>
      <c r="C57">
        <v>58</v>
      </c>
      <c r="D57" t="s">
        <v>21</v>
      </c>
      <c r="E57" t="str">
        <f>IF(Churn_part[[#This Row],[Type_Forfait]]="Pro Monde", "B2B", "B2C")</f>
        <v>B2C</v>
      </c>
      <c r="F57">
        <v>61</v>
      </c>
      <c r="G57" s="8">
        <v>58.64</v>
      </c>
      <c r="H57">
        <v>3</v>
      </c>
      <c r="I5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7" s="8">
        <f>Churn_part[[#This Row],[Facture_Mensuelle]]*Churn_part[[#This Row],[Remise Client]]</f>
        <v>0</v>
      </c>
    </row>
    <row r="58" spans="1:10" x14ac:dyDescent="0.3">
      <c r="A58" t="s">
        <v>91</v>
      </c>
      <c r="B58" t="s">
        <v>43</v>
      </c>
      <c r="C58">
        <v>20</v>
      </c>
      <c r="D58" t="s">
        <v>18</v>
      </c>
      <c r="E58" t="str">
        <f>IF(Churn_part[[#This Row],[Type_Forfait]]="Pro Monde", "B2B", "B2C")</f>
        <v>B2C</v>
      </c>
      <c r="F58">
        <v>26</v>
      </c>
      <c r="G58" s="8">
        <v>25.14</v>
      </c>
      <c r="H58">
        <v>0</v>
      </c>
      <c r="I5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8" s="8">
        <f>Churn_part[[#This Row],[Facture_Mensuelle]]*Churn_part[[#This Row],[Remise Client]]</f>
        <v>0</v>
      </c>
    </row>
    <row r="59" spans="1:10" x14ac:dyDescent="0.3">
      <c r="A59" t="s">
        <v>92</v>
      </c>
      <c r="B59" t="s">
        <v>50</v>
      </c>
      <c r="C59">
        <v>111</v>
      </c>
      <c r="D59" t="s">
        <v>10</v>
      </c>
      <c r="E59" t="str">
        <f>IF(Churn_part[[#This Row],[Type_Forfait]]="Pro Monde", "B2B", "B2C")</f>
        <v>B2C</v>
      </c>
      <c r="F59">
        <v>103</v>
      </c>
      <c r="G59" s="8">
        <v>32.06</v>
      </c>
      <c r="H59">
        <v>0</v>
      </c>
      <c r="I5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9" s="8">
        <f>Churn_part[[#This Row],[Facture_Mensuelle]]*Churn_part[[#This Row],[Remise Client]]</f>
        <v>0</v>
      </c>
    </row>
    <row r="60" spans="1:10" x14ac:dyDescent="0.3">
      <c r="A60" t="s">
        <v>93</v>
      </c>
      <c r="B60" t="s">
        <v>20</v>
      </c>
      <c r="C60">
        <v>94</v>
      </c>
      <c r="D60" t="s">
        <v>21</v>
      </c>
      <c r="E60" t="str">
        <f>IF(Churn_part[[#This Row],[Type_Forfait]]="Pro Monde", "B2B", "B2C")</f>
        <v>B2C</v>
      </c>
      <c r="F60">
        <v>122</v>
      </c>
      <c r="G60" s="8">
        <v>95.74</v>
      </c>
      <c r="H60">
        <v>5</v>
      </c>
      <c r="I6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0" s="8">
        <f>Churn_part[[#This Row],[Facture_Mensuelle]]*Churn_part[[#This Row],[Remise Client]]</f>
        <v>0</v>
      </c>
    </row>
    <row r="61" spans="1:10" x14ac:dyDescent="0.3">
      <c r="A61" t="s">
        <v>94</v>
      </c>
      <c r="B61" t="s">
        <v>34</v>
      </c>
      <c r="C61">
        <v>42</v>
      </c>
      <c r="D61" t="s">
        <v>21</v>
      </c>
      <c r="E61" t="str">
        <f>IF(Churn_part[[#This Row],[Type_Forfait]]="Pro Monde", "B2B", "B2C")</f>
        <v>B2C</v>
      </c>
      <c r="F61">
        <v>385</v>
      </c>
      <c r="G61" s="8">
        <v>96.52</v>
      </c>
      <c r="H61">
        <v>1</v>
      </c>
      <c r="I6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1" s="8">
        <f>Churn_part[[#This Row],[Facture_Mensuelle]]*Churn_part[[#This Row],[Remise Client]]</f>
        <v>43.433999999999997</v>
      </c>
    </row>
    <row r="62" spans="1:10" x14ac:dyDescent="0.3">
      <c r="A62" t="s">
        <v>95</v>
      </c>
      <c r="B62" t="s">
        <v>20</v>
      </c>
      <c r="C62">
        <v>12</v>
      </c>
      <c r="D62" t="s">
        <v>13</v>
      </c>
      <c r="E62" t="str">
        <f>IF(Churn_part[[#This Row],[Type_Forfait]]="Pro Monde", "B2B", "B2C")</f>
        <v>B2B</v>
      </c>
      <c r="F62">
        <v>305</v>
      </c>
      <c r="G62" s="8">
        <v>59.96</v>
      </c>
      <c r="H62">
        <v>3</v>
      </c>
      <c r="I6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2" s="8">
        <f>Churn_part[[#This Row],[Facture_Mensuelle]]*Churn_part[[#This Row],[Remise Client]]</f>
        <v>5.9960000000000004</v>
      </c>
    </row>
    <row r="63" spans="1:10" x14ac:dyDescent="0.3">
      <c r="A63" t="s">
        <v>96</v>
      </c>
      <c r="B63" t="s">
        <v>34</v>
      </c>
      <c r="C63">
        <v>103</v>
      </c>
      <c r="D63" t="s">
        <v>18</v>
      </c>
      <c r="E63" t="str">
        <f>IF(Churn_part[[#This Row],[Type_Forfait]]="Pro Monde", "B2B", "B2C")</f>
        <v>B2C</v>
      </c>
      <c r="F63">
        <v>300</v>
      </c>
      <c r="G63" s="8">
        <v>13.76</v>
      </c>
      <c r="H63">
        <v>4</v>
      </c>
      <c r="I6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3" s="8">
        <f>Churn_part[[#This Row],[Facture_Mensuelle]]*Churn_part[[#This Row],[Remise Client]]</f>
        <v>6.1920000000000002</v>
      </c>
    </row>
    <row r="64" spans="1:10" x14ac:dyDescent="0.3">
      <c r="A64" t="s">
        <v>97</v>
      </c>
      <c r="B64" t="s">
        <v>34</v>
      </c>
      <c r="C64">
        <v>80</v>
      </c>
      <c r="D64" t="s">
        <v>10</v>
      </c>
      <c r="E64" t="str">
        <f>IF(Churn_part[[#This Row],[Type_Forfait]]="Pro Monde", "B2B", "B2C")</f>
        <v>B2C</v>
      </c>
      <c r="F64">
        <v>121</v>
      </c>
      <c r="G64" s="8">
        <v>83.14</v>
      </c>
      <c r="H64">
        <v>5</v>
      </c>
      <c r="I6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4" s="8">
        <f>Churn_part[[#This Row],[Facture_Mensuelle]]*Churn_part[[#This Row],[Remise Client]]</f>
        <v>0</v>
      </c>
    </row>
    <row r="65" spans="1:10" x14ac:dyDescent="0.3">
      <c r="A65" t="s">
        <v>98</v>
      </c>
      <c r="B65" t="s">
        <v>25</v>
      </c>
      <c r="C65">
        <v>86</v>
      </c>
      <c r="D65" t="s">
        <v>13</v>
      </c>
      <c r="E65" t="str">
        <f>IF(Churn_part[[#This Row],[Type_Forfait]]="Pro Monde", "B2B", "B2C")</f>
        <v>B2B</v>
      </c>
      <c r="F65">
        <v>252</v>
      </c>
      <c r="G65" s="8">
        <v>96.5</v>
      </c>
      <c r="H65">
        <v>5</v>
      </c>
      <c r="I6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5" s="8">
        <f>Churn_part[[#This Row],[Facture_Mensuelle]]*Churn_part[[#This Row],[Remise Client]]</f>
        <v>9.65</v>
      </c>
    </row>
    <row r="66" spans="1:10" x14ac:dyDescent="0.3">
      <c r="A66" t="s">
        <v>99</v>
      </c>
      <c r="B66" t="s">
        <v>63</v>
      </c>
      <c r="C66">
        <v>80</v>
      </c>
      <c r="D66" t="s">
        <v>18</v>
      </c>
      <c r="E66" t="str">
        <f>IF(Churn_part[[#This Row],[Type_Forfait]]="Pro Monde", "B2B", "B2C")</f>
        <v>B2C</v>
      </c>
      <c r="F66">
        <v>260</v>
      </c>
      <c r="G66" s="8">
        <v>65.87</v>
      </c>
      <c r="H66">
        <v>3</v>
      </c>
      <c r="I6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6" s="8">
        <f>Churn_part[[#This Row],[Facture_Mensuelle]]*Churn_part[[#This Row],[Remise Client]]</f>
        <v>29.641500000000004</v>
      </c>
    </row>
    <row r="67" spans="1:10" x14ac:dyDescent="0.3">
      <c r="A67" t="s">
        <v>100</v>
      </c>
      <c r="B67" t="s">
        <v>23</v>
      </c>
      <c r="C67">
        <v>53</v>
      </c>
      <c r="D67" t="s">
        <v>13</v>
      </c>
      <c r="E67" t="str">
        <f>IF(Churn_part[[#This Row],[Type_Forfait]]="Pro Monde", "B2B", "B2C")</f>
        <v>B2B</v>
      </c>
      <c r="F67">
        <v>385</v>
      </c>
      <c r="G67" s="8">
        <v>68.78</v>
      </c>
      <c r="H67">
        <v>3</v>
      </c>
      <c r="I6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7" s="8">
        <f>Churn_part[[#This Row],[Facture_Mensuelle]]*Churn_part[[#This Row],[Remise Client]]</f>
        <v>6.8780000000000001</v>
      </c>
    </row>
    <row r="68" spans="1:10" x14ac:dyDescent="0.3">
      <c r="A68" t="s">
        <v>101</v>
      </c>
      <c r="B68" t="s">
        <v>43</v>
      </c>
      <c r="C68">
        <v>50</v>
      </c>
      <c r="D68" t="s">
        <v>18</v>
      </c>
      <c r="E68" t="str">
        <f>IF(Churn_part[[#This Row],[Type_Forfait]]="Pro Monde", "B2B", "B2C")</f>
        <v>B2C</v>
      </c>
      <c r="F68">
        <v>258</v>
      </c>
      <c r="G68" s="8">
        <v>25.06</v>
      </c>
      <c r="H68">
        <v>4</v>
      </c>
      <c r="I6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8" s="8">
        <f>Churn_part[[#This Row],[Facture_Mensuelle]]*Churn_part[[#This Row],[Remise Client]]</f>
        <v>11.276999999999999</v>
      </c>
    </row>
    <row r="69" spans="1:10" x14ac:dyDescent="0.3">
      <c r="A69" t="s">
        <v>102</v>
      </c>
      <c r="B69" t="s">
        <v>43</v>
      </c>
      <c r="C69">
        <v>30</v>
      </c>
      <c r="D69" t="s">
        <v>10</v>
      </c>
      <c r="E69" t="str">
        <f>IF(Churn_part[[#This Row],[Type_Forfait]]="Pro Monde", "B2B", "B2C")</f>
        <v>B2C</v>
      </c>
      <c r="F69">
        <v>197</v>
      </c>
      <c r="G69" s="8">
        <v>15.42</v>
      </c>
      <c r="H69">
        <v>0</v>
      </c>
      <c r="I6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9" s="8">
        <f>Churn_part[[#This Row],[Facture_Mensuelle]]*Churn_part[[#This Row],[Remise Client]]</f>
        <v>0</v>
      </c>
    </row>
    <row r="70" spans="1:10" x14ac:dyDescent="0.3">
      <c r="A70" t="s">
        <v>103</v>
      </c>
      <c r="B70" t="s">
        <v>23</v>
      </c>
      <c r="C70">
        <v>116</v>
      </c>
      <c r="D70" t="s">
        <v>13</v>
      </c>
      <c r="E70" t="str">
        <f>IF(Churn_part[[#This Row],[Type_Forfait]]="Pro Monde", "B2B", "B2C")</f>
        <v>B2B</v>
      </c>
      <c r="F70">
        <v>486</v>
      </c>
      <c r="G70" s="8">
        <v>92.96</v>
      </c>
      <c r="H70">
        <v>5</v>
      </c>
      <c r="I7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70" s="8">
        <f>Churn_part[[#This Row],[Facture_Mensuelle]]*Churn_part[[#This Row],[Remise Client]]</f>
        <v>9.2959999999999994</v>
      </c>
    </row>
    <row r="71" spans="1:10" x14ac:dyDescent="0.3">
      <c r="A71" t="s">
        <v>104</v>
      </c>
      <c r="B71" t="s">
        <v>87</v>
      </c>
      <c r="C71">
        <v>51</v>
      </c>
      <c r="D71" t="s">
        <v>21</v>
      </c>
      <c r="E71" t="str">
        <f>IF(Churn_part[[#This Row],[Type_Forfait]]="Pro Monde", "B2B", "B2C")</f>
        <v>B2C</v>
      </c>
      <c r="F71">
        <v>58</v>
      </c>
      <c r="G71" s="8">
        <v>34.6</v>
      </c>
      <c r="H71">
        <v>5</v>
      </c>
      <c r="I7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1" s="8">
        <f>Churn_part[[#This Row],[Facture_Mensuelle]]*Churn_part[[#This Row],[Remise Client]]</f>
        <v>0</v>
      </c>
    </row>
    <row r="72" spans="1:10" x14ac:dyDescent="0.3">
      <c r="A72" t="s">
        <v>105</v>
      </c>
      <c r="B72" t="s">
        <v>9</v>
      </c>
      <c r="C72">
        <v>44</v>
      </c>
      <c r="D72" t="s">
        <v>13</v>
      </c>
      <c r="E72" t="str">
        <f>IF(Churn_part[[#This Row],[Type_Forfait]]="Pro Monde", "B2B", "B2C")</f>
        <v>B2B</v>
      </c>
      <c r="F72">
        <v>137</v>
      </c>
      <c r="G72" s="8">
        <v>32.58</v>
      </c>
      <c r="H72">
        <v>0</v>
      </c>
      <c r="I7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72" s="8">
        <f>Churn_part[[#This Row],[Facture_Mensuelle]]*Churn_part[[#This Row],[Remise Client]]</f>
        <v>3.258</v>
      </c>
    </row>
    <row r="73" spans="1:10" x14ac:dyDescent="0.3">
      <c r="A73" t="s">
        <v>106</v>
      </c>
      <c r="B73" t="s">
        <v>61</v>
      </c>
      <c r="C73">
        <v>70</v>
      </c>
      <c r="D73" t="s">
        <v>18</v>
      </c>
      <c r="E73" t="str">
        <f>IF(Churn_part[[#This Row],[Type_Forfait]]="Pro Monde", "B2B", "B2C")</f>
        <v>B2C</v>
      </c>
      <c r="F73">
        <v>31</v>
      </c>
      <c r="G73" s="8">
        <v>71.2</v>
      </c>
      <c r="H73">
        <v>4</v>
      </c>
      <c r="I7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3" s="8">
        <f>Churn_part[[#This Row],[Facture_Mensuelle]]*Churn_part[[#This Row],[Remise Client]]</f>
        <v>0</v>
      </c>
    </row>
    <row r="74" spans="1:10" x14ac:dyDescent="0.3">
      <c r="A74" t="s">
        <v>107</v>
      </c>
      <c r="B74" t="s">
        <v>34</v>
      </c>
      <c r="C74">
        <v>6</v>
      </c>
      <c r="D74" t="s">
        <v>10</v>
      </c>
      <c r="E74" t="str">
        <f>IF(Churn_part[[#This Row],[Type_Forfait]]="Pro Monde", "B2B", "B2C")</f>
        <v>B2C</v>
      </c>
      <c r="F74">
        <v>162</v>
      </c>
      <c r="G74" s="8">
        <v>99.93</v>
      </c>
      <c r="H74">
        <v>0</v>
      </c>
      <c r="I7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4" s="8">
        <f>Churn_part[[#This Row],[Facture_Mensuelle]]*Churn_part[[#This Row],[Remise Client]]</f>
        <v>0</v>
      </c>
    </row>
    <row r="75" spans="1:10" x14ac:dyDescent="0.3">
      <c r="A75" t="s">
        <v>108</v>
      </c>
      <c r="B75" t="s">
        <v>34</v>
      </c>
      <c r="C75">
        <v>86</v>
      </c>
      <c r="D75" t="s">
        <v>13</v>
      </c>
      <c r="E75" t="str">
        <f>IF(Churn_part[[#This Row],[Type_Forfait]]="Pro Monde", "B2B", "B2C")</f>
        <v>B2B</v>
      </c>
      <c r="F75">
        <v>237</v>
      </c>
      <c r="G75" s="8">
        <v>85.82</v>
      </c>
      <c r="H75">
        <v>5</v>
      </c>
      <c r="I7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75" s="8">
        <f>Churn_part[[#This Row],[Facture_Mensuelle]]*Churn_part[[#This Row],[Remise Client]]</f>
        <v>8.581999999999999</v>
      </c>
    </row>
    <row r="76" spans="1:10" x14ac:dyDescent="0.3">
      <c r="A76" t="s">
        <v>109</v>
      </c>
      <c r="B76" t="s">
        <v>32</v>
      </c>
      <c r="C76">
        <v>114</v>
      </c>
      <c r="D76" t="s">
        <v>10</v>
      </c>
      <c r="E76" t="str">
        <f>IF(Churn_part[[#This Row],[Type_Forfait]]="Pro Monde", "B2B", "B2C")</f>
        <v>B2C</v>
      </c>
      <c r="F76">
        <v>283</v>
      </c>
      <c r="G76" s="8">
        <v>29.15</v>
      </c>
      <c r="H76">
        <v>3</v>
      </c>
      <c r="I7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6" s="8">
        <f>Churn_part[[#This Row],[Facture_Mensuelle]]*Churn_part[[#This Row],[Remise Client]]</f>
        <v>13.1175</v>
      </c>
    </row>
    <row r="77" spans="1:10" x14ac:dyDescent="0.3">
      <c r="A77" t="s">
        <v>110</v>
      </c>
      <c r="B77" t="s">
        <v>28</v>
      </c>
      <c r="C77">
        <v>57</v>
      </c>
      <c r="D77" t="s">
        <v>18</v>
      </c>
      <c r="E77" t="str">
        <f>IF(Churn_part[[#This Row],[Type_Forfait]]="Pro Monde", "B2B", "B2C")</f>
        <v>B2C</v>
      </c>
      <c r="F77">
        <v>208</v>
      </c>
      <c r="G77" s="8">
        <v>85.66</v>
      </c>
      <c r="H77">
        <v>5</v>
      </c>
      <c r="I7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7" s="8">
        <f>Churn_part[[#This Row],[Facture_Mensuelle]]*Churn_part[[#This Row],[Remise Client]]</f>
        <v>0</v>
      </c>
    </row>
    <row r="78" spans="1:10" x14ac:dyDescent="0.3">
      <c r="A78" t="s">
        <v>111</v>
      </c>
      <c r="B78" t="s">
        <v>17</v>
      </c>
      <c r="C78">
        <v>95</v>
      </c>
      <c r="D78" t="s">
        <v>18</v>
      </c>
      <c r="E78" t="str">
        <f>IF(Churn_part[[#This Row],[Type_Forfait]]="Pro Monde", "B2B", "B2C")</f>
        <v>B2C</v>
      </c>
      <c r="F78">
        <v>33</v>
      </c>
      <c r="G78" s="8">
        <v>35.32</v>
      </c>
      <c r="H78">
        <v>0</v>
      </c>
      <c r="I7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8" s="8">
        <f>Churn_part[[#This Row],[Facture_Mensuelle]]*Churn_part[[#This Row],[Remise Client]]</f>
        <v>0</v>
      </c>
    </row>
    <row r="79" spans="1:10" x14ac:dyDescent="0.3">
      <c r="A79" t="s">
        <v>112</v>
      </c>
      <c r="B79" t="s">
        <v>25</v>
      </c>
      <c r="C79">
        <v>36</v>
      </c>
      <c r="D79" t="s">
        <v>18</v>
      </c>
      <c r="E79" t="str">
        <f>IF(Churn_part[[#This Row],[Type_Forfait]]="Pro Monde", "B2B", "B2C")</f>
        <v>B2C</v>
      </c>
      <c r="F79">
        <v>247</v>
      </c>
      <c r="G79" s="8">
        <v>24.53</v>
      </c>
      <c r="H79">
        <v>2</v>
      </c>
      <c r="I7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9" s="8">
        <f>Churn_part[[#This Row],[Facture_Mensuelle]]*Churn_part[[#This Row],[Remise Client]]</f>
        <v>11.038500000000001</v>
      </c>
    </row>
    <row r="80" spans="1:10" x14ac:dyDescent="0.3">
      <c r="A80" t="s">
        <v>113</v>
      </c>
      <c r="B80" t="s">
        <v>63</v>
      </c>
      <c r="C80">
        <v>83</v>
      </c>
      <c r="D80" t="s">
        <v>21</v>
      </c>
      <c r="E80" t="str">
        <f>IF(Churn_part[[#This Row],[Type_Forfait]]="Pro Monde", "B2B", "B2C")</f>
        <v>B2C</v>
      </c>
      <c r="F80">
        <v>14</v>
      </c>
      <c r="G80" s="8">
        <v>58.07</v>
      </c>
      <c r="H80">
        <v>3</v>
      </c>
      <c r="I8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80" s="8">
        <f>Churn_part[[#This Row],[Facture_Mensuelle]]*Churn_part[[#This Row],[Remise Client]]</f>
        <v>0</v>
      </c>
    </row>
    <row r="81" spans="1:10" x14ac:dyDescent="0.3">
      <c r="A81" t="s">
        <v>114</v>
      </c>
      <c r="B81" t="s">
        <v>50</v>
      </c>
      <c r="C81">
        <v>12</v>
      </c>
      <c r="D81" t="s">
        <v>10</v>
      </c>
      <c r="E81" t="str">
        <f>IF(Churn_part[[#This Row],[Type_Forfait]]="Pro Monde", "B2B", "B2C")</f>
        <v>B2C</v>
      </c>
      <c r="F81">
        <v>208</v>
      </c>
      <c r="G81" s="8">
        <v>16.29</v>
      </c>
      <c r="H81">
        <v>4</v>
      </c>
      <c r="I8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81" s="8">
        <f>Churn_part[[#This Row],[Facture_Mensuelle]]*Churn_part[[#This Row],[Remise Client]]</f>
        <v>0</v>
      </c>
    </row>
    <row r="82" spans="1:10" x14ac:dyDescent="0.3">
      <c r="A82" t="s">
        <v>115</v>
      </c>
      <c r="B82" t="s">
        <v>59</v>
      </c>
      <c r="C82">
        <v>111</v>
      </c>
      <c r="D82" t="s">
        <v>21</v>
      </c>
      <c r="E82" t="str">
        <f>IF(Churn_part[[#This Row],[Type_Forfait]]="Pro Monde", "B2B", "B2C")</f>
        <v>B2C</v>
      </c>
      <c r="F82">
        <v>324</v>
      </c>
      <c r="G82" s="8">
        <v>18.07</v>
      </c>
      <c r="H82">
        <v>2</v>
      </c>
      <c r="I8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82" s="8">
        <f>Churn_part[[#This Row],[Facture_Mensuelle]]*Churn_part[[#This Row],[Remise Client]]</f>
        <v>8.1315000000000008</v>
      </c>
    </row>
    <row r="83" spans="1:10" x14ac:dyDescent="0.3">
      <c r="A83" t="s">
        <v>116</v>
      </c>
      <c r="B83" t="s">
        <v>20</v>
      </c>
      <c r="C83">
        <v>22</v>
      </c>
      <c r="D83" t="s">
        <v>21</v>
      </c>
      <c r="E83" t="str">
        <f>IF(Churn_part[[#This Row],[Type_Forfait]]="Pro Monde", "B2B", "B2C")</f>
        <v>B2C</v>
      </c>
      <c r="F83">
        <v>119</v>
      </c>
      <c r="G83" s="8">
        <v>72.86</v>
      </c>
      <c r="H83">
        <v>3</v>
      </c>
      <c r="I8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83" s="8">
        <f>Churn_part[[#This Row],[Facture_Mensuelle]]*Churn_part[[#This Row],[Remise Client]]</f>
        <v>0</v>
      </c>
    </row>
    <row r="84" spans="1:10" x14ac:dyDescent="0.3">
      <c r="A84" t="s">
        <v>117</v>
      </c>
      <c r="B84" t="s">
        <v>39</v>
      </c>
      <c r="C84">
        <v>91</v>
      </c>
      <c r="D84" t="s">
        <v>10</v>
      </c>
      <c r="E84" t="str">
        <f>IF(Churn_part[[#This Row],[Type_Forfait]]="Pro Monde", "B2B", "B2C")</f>
        <v>B2C</v>
      </c>
      <c r="F84">
        <v>467</v>
      </c>
      <c r="G84" s="8">
        <v>84.74</v>
      </c>
      <c r="H84">
        <v>1</v>
      </c>
      <c r="I8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84" s="8">
        <f>Churn_part[[#This Row],[Facture_Mensuelle]]*Churn_part[[#This Row],[Remise Client]]</f>
        <v>38.132999999999996</v>
      </c>
    </row>
    <row r="85" spans="1:10" x14ac:dyDescent="0.3">
      <c r="A85" t="s">
        <v>118</v>
      </c>
      <c r="B85" t="s">
        <v>61</v>
      </c>
      <c r="C85">
        <v>4</v>
      </c>
      <c r="D85" t="s">
        <v>18</v>
      </c>
      <c r="E85" t="str">
        <f>IF(Churn_part[[#This Row],[Type_Forfait]]="Pro Monde", "B2B", "B2C")</f>
        <v>B2C</v>
      </c>
      <c r="F85">
        <v>453</v>
      </c>
      <c r="G85" s="8">
        <v>75.260000000000005</v>
      </c>
      <c r="H85">
        <v>5</v>
      </c>
      <c r="I8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85" s="8">
        <f>Churn_part[[#This Row],[Facture_Mensuelle]]*Churn_part[[#This Row],[Remise Client]]</f>
        <v>33.867000000000004</v>
      </c>
    </row>
    <row r="86" spans="1:10" x14ac:dyDescent="0.3">
      <c r="A86" t="s">
        <v>119</v>
      </c>
      <c r="B86" t="s">
        <v>9</v>
      </c>
      <c r="C86">
        <v>74</v>
      </c>
      <c r="D86" t="s">
        <v>21</v>
      </c>
      <c r="E86" t="str">
        <f>IF(Churn_part[[#This Row],[Type_Forfait]]="Pro Monde", "B2B", "B2C")</f>
        <v>B2C</v>
      </c>
      <c r="F86">
        <v>9</v>
      </c>
      <c r="G86" s="8">
        <v>99.89</v>
      </c>
      <c r="H86">
        <v>0</v>
      </c>
      <c r="I8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86" s="8">
        <f>Churn_part[[#This Row],[Facture_Mensuelle]]*Churn_part[[#This Row],[Remise Client]]</f>
        <v>0</v>
      </c>
    </row>
    <row r="87" spans="1:10" x14ac:dyDescent="0.3">
      <c r="A87" t="s">
        <v>120</v>
      </c>
      <c r="B87" t="s">
        <v>25</v>
      </c>
      <c r="C87">
        <v>81</v>
      </c>
      <c r="D87" t="s">
        <v>10</v>
      </c>
      <c r="E87" t="str">
        <f>IF(Churn_part[[#This Row],[Type_Forfait]]="Pro Monde", "B2B", "B2C")</f>
        <v>B2C</v>
      </c>
      <c r="F87">
        <v>137</v>
      </c>
      <c r="G87" s="8">
        <v>89.05</v>
      </c>
      <c r="H87">
        <v>0</v>
      </c>
      <c r="I8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87" s="8">
        <f>Churn_part[[#This Row],[Facture_Mensuelle]]*Churn_part[[#This Row],[Remise Client]]</f>
        <v>0</v>
      </c>
    </row>
    <row r="88" spans="1:10" x14ac:dyDescent="0.3">
      <c r="A88" t="s">
        <v>121</v>
      </c>
      <c r="B88" t="s">
        <v>87</v>
      </c>
      <c r="C88">
        <v>102</v>
      </c>
      <c r="D88" t="s">
        <v>13</v>
      </c>
      <c r="E88" t="str">
        <f>IF(Churn_part[[#This Row],[Type_Forfait]]="Pro Monde", "B2B", "B2C")</f>
        <v>B2B</v>
      </c>
      <c r="F88">
        <v>283</v>
      </c>
      <c r="G88" s="8">
        <v>28.98</v>
      </c>
      <c r="H88">
        <v>3</v>
      </c>
      <c r="I8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88" s="8">
        <f>Churn_part[[#This Row],[Facture_Mensuelle]]*Churn_part[[#This Row],[Remise Client]]</f>
        <v>2.8980000000000001</v>
      </c>
    </row>
    <row r="89" spans="1:10" x14ac:dyDescent="0.3">
      <c r="A89" t="s">
        <v>122</v>
      </c>
      <c r="B89" t="s">
        <v>34</v>
      </c>
      <c r="C89">
        <v>99</v>
      </c>
      <c r="D89" t="s">
        <v>21</v>
      </c>
      <c r="E89" t="str">
        <f>IF(Churn_part[[#This Row],[Type_Forfait]]="Pro Monde", "B2B", "B2C")</f>
        <v>B2C</v>
      </c>
      <c r="F89">
        <v>493</v>
      </c>
      <c r="G89" s="8">
        <v>55.43</v>
      </c>
      <c r="H89">
        <v>2</v>
      </c>
      <c r="I8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89" s="8">
        <f>Churn_part[[#This Row],[Facture_Mensuelle]]*Churn_part[[#This Row],[Remise Client]]</f>
        <v>24.9435</v>
      </c>
    </row>
    <row r="90" spans="1:10" x14ac:dyDescent="0.3">
      <c r="A90" t="s">
        <v>123</v>
      </c>
      <c r="B90" t="s">
        <v>87</v>
      </c>
      <c r="C90">
        <v>91</v>
      </c>
      <c r="D90" t="s">
        <v>18</v>
      </c>
      <c r="E90" t="str">
        <f>IF(Churn_part[[#This Row],[Type_Forfait]]="Pro Monde", "B2B", "B2C")</f>
        <v>B2C</v>
      </c>
      <c r="F90">
        <v>300</v>
      </c>
      <c r="G90" s="8">
        <v>82.19</v>
      </c>
      <c r="H90">
        <v>1</v>
      </c>
      <c r="I9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90" s="8">
        <f>Churn_part[[#This Row],[Facture_Mensuelle]]*Churn_part[[#This Row],[Remise Client]]</f>
        <v>36.985500000000002</v>
      </c>
    </row>
    <row r="91" spans="1:10" x14ac:dyDescent="0.3">
      <c r="A91" t="s">
        <v>124</v>
      </c>
      <c r="B91" t="s">
        <v>125</v>
      </c>
      <c r="C91">
        <v>40</v>
      </c>
      <c r="D91" t="s">
        <v>10</v>
      </c>
      <c r="E91" t="str">
        <f>IF(Churn_part[[#This Row],[Type_Forfait]]="Pro Monde", "B2B", "B2C")</f>
        <v>B2C</v>
      </c>
      <c r="F91">
        <v>345</v>
      </c>
      <c r="G91" s="8">
        <v>89.55</v>
      </c>
      <c r="H91">
        <v>3</v>
      </c>
      <c r="I9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91" s="8">
        <f>Churn_part[[#This Row],[Facture_Mensuelle]]*Churn_part[[#This Row],[Remise Client]]</f>
        <v>40.297499999999999</v>
      </c>
    </row>
    <row r="92" spans="1:10" x14ac:dyDescent="0.3">
      <c r="A92" t="s">
        <v>126</v>
      </c>
      <c r="B92" t="s">
        <v>77</v>
      </c>
      <c r="C92">
        <v>72</v>
      </c>
      <c r="D92" t="s">
        <v>21</v>
      </c>
      <c r="E92" t="str">
        <f>IF(Churn_part[[#This Row],[Type_Forfait]]="Pro Monde", "B2B", "B2C")</f>
        <v>B2C</v>
      </c>
      <c r="F92">
        <v>51</v>
      </c>
      <c r="G92" s="8">
        <v>95.09</v>
      </c>
      <c r="H92">
        <v>0</v>
      </c>
      <c r="I9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92" s="8">
        <f>Churn_part[[#This Row],[Facture_Mensuelle]]*Churn_part[[#This Row],[Remise Client]]</f>
        <v>0</v>
      </c>
    </row>
    <row r="93" spans="1:10" x14ac:dyDescent="0.3">
      <c r="A93" t="s">
        <v>127</v>
      </c>
      <c r="B93" t="s">
        <v>23</v>
      </c>
      <c r="C93">
        <v>83</v>
      </c>
      <c r="D93" t="s">
        <v>18</v>
      </c>
      <c r="E93" t="str">
        <f>IF(Churn_part[[#This Row],[Type_Forfait]]="Pro Monde", "B2B", "B2C")</f>
        <v>B2C</v>
      </c>
      <c r="F93">
        <v>126</v>
      </c>
      <c r="G93" s="8">
        <v>67.17</v>
      </c>
      <c r="H93">
        <v>1</v>
      </c>
      <c r="I9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93" s="8">
        <f>Churn_part[[#This Row],[Facture_Mensuelle]]*Churn_part[[#This Row],[Remise Client]]</f>
        <v>0</v>
      </c>
    </row>
    <row r="94" spans="1:10" x14ac:dyDescent="0.3">
      <c r="A94" t="s">
        <v>128</v>
      </c>
      <c r="B94" t="s">
        <v>129</v>
      </c>
      <c r="C94">
        <v>16</v>
      </c>
      <c r="D94" t="s">
        <v>18</v>
      </c>
      <c r="E94" t="str">
        <f>IF(Churn_part[[#This Row],[Type_Forfait]]="Pro Monde", "B2B", "B2C")</f>
        <v>B2C</v>
      </c>
      <c r="F94">
        <v>390</v>
      </c>
      <c r="G94" s="8">
        <v>98.17</v>
      </c>
      <c r="H94">
        <v>5</v>
      </c>
      <c r="I9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94" s="8">
        <f>Churn_part[[#This Row],[Facture_Mensuelle]]*Churn_part[[#This Row],[Remise Client]]</f>
        <v>44.176500000000004</v>
      </c>
    </row>
    <row r="95" spans="1:10" x14ac:dyDescent="0.3">
      <c r="A95" t="s">
        <v>130</v>
      </c>
      <c r="B95" t="s">
        <v>25</v>
      </c>
      <c r="C95">
        <v>83</v>
      </c>
      <c r="D95" t="s">
        <v>10</v>
      </c>
      <c r="E95" t="str">
        <f>IF(Churn_part[[#This Row],[Type_Forfait]]="Pro Monde", "B2B", "B2C")</f>
        <v>B2C</v>
      </c>
      <c r="F95">
        <v>284</v>
      </c>
      <c r="G95" s="8">
        <v>73.7</v>
      </c>
      <c r="H95">
        <v>0</v>
      </c>
      <c r="I9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95" s="8">
        <f>Churn_part[[#This Row],[Facture_Mensuelle]]*Churn_part[[#This Row],[Remise Client]]</f>
        <v>33.164999999999999</v>
      </c>
    </row>
    <row r="96" spans="1:10" x14ac:dyDescent="0.3">
      <c r="A96" t="s">
        <v>131</v>
      </c>
      <c r="B96" t="s">
        <v>17</v>
      </c>
      <c r="C96">
        <v>72</v>
      </c>
      <c r="D96" t="s">
        <v>13</v>
      </c>
      <c r="E96" t="str">
        <f>IF(Churn_part[[#This Row],[Type_Forfait]]="Pro Monde", "B2B", "B2C")</f>
        <v>B2B</v>
      </c>
      <c r="F96">
        <v>333</v>
      </c>
      <c r="G96" s="8">
        <v>34.57</v>
      </c>
      <c r="H96">
        <v>2</v>
      </c>
      <c r="I9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96" s="8">
        <f>Churn_part[[#This Row],[Facture_Mensuelle]]*Churn_part[[#This Row],[Remise Client]]</f>
        <v>3.4570000000000003</v>
      </c>
    </row>
    <row r="97" spans="1:10" x14ac:dyDescent="0.3">
      <c r="A97" t="s">
        <v>132</v>
      </c>
      <c r="B97" t="s">
        <v>30</v>
      </c>
      <c r="C97">
        <v>11</v>
      </c>
      <c r="D97" t="s">
        <v>18</v>
      </c>
      <c r="E97" t="str">
        <f>IF(Churn_part[[#This Row],[Type_Forfait]]="Pro Monde", "B2B", "B2C")</f>
        <v>B2C</v>
      </c>
      <c r="F97">
        <v>402</v>
      </c>
      <c r="G97" s="8">
        <v>69.599999999999994</v>
      </c>
      <c r="H97">
        <v>5</v>
      </c>
      <c r="I9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97" s="8">
        <f>Churn_part[[#This Row],[Facture_Mensuelle]]*Churn_part[[#This Row],[Remise Client]]</f>
        <v>31.319999999999997</v>
      </c>
    </row>
    <row r="98" spans="1:10" x14ac:dyDescent="0.3">
      <c r="A98" t="s">
        <v>133</v>
      </c>
      <c r="B98" t="s">
        <v>43</v>
      </c>
      <c r="C98">
        <v>25</v>
      </c>
      <c r="D98" t="s">
        <v>10</v>
      </c>
      <c r="E98" t="str">
        <f>IF(Churn_part[[#This Row],[Type_Forfait]]="Pro Monde", "B2B", "B2C")</f>
        <v>B2C</v>
      </c>
      <c r="F98">
        <v>64</v>
      </c>
      <c r="G98" s="8">
        <v>38.950000000000003</v>
      </c>
      <c r="H98">
        <v>5</v>
      </c>
      <c r="I9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98" s="8">
        <f>Churn_part[[#This Row],[Facture_Mensuelle]]*Churn_part[[#This Row],[Remise Client]]</f>
        <v>0</v>
      </c>
    </row>
    <row r="99" spans="1:10" x14ac:dyDescent="0.3">
      <c r="A99" t="s">
        <v>134</v>
      </c>
      <c r="B99" t="s">
        <v>135</v>
      </c>
      <c r="C99">
        <v>80</v>
      </c>
      <c r="D99" t="s">
        <v>21</v>
      </c>
      <c r="E99" t="str">
        <f>IF(Churn_part[[#This Row],[Type_Forfait]]="Pro Monde", "B2B", "B2C")</f>
        <v>B2C</v>
      </c>
      <c r="F99">
        <v>155</v>
      </c>
      <c r="G99" s="8">
        <v>28.96</v>
      </c>
      <c r="H99">
        <v>2</v>
      </c>
      <c r="I9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99" s="8">
        <f>Churn_part[[#This Row],[Facture_Mensuelle]]*Churn_part[[#This Row],[Remise Client]]</f>
        <v>0</v>
      </c>
    </row>
    <row r="100" spans="1:10" x14ac:dyDescent="0.3">
      <c r="A100" t="s">
        <v>136</v>
      </c>
      <c r="B100" t="s">
        <v>43</v>
      </c>
      <c r="C100">
        <v>70</v>
      </c>
      <c r="D100" t="s">
        <v>13</v>
      </c>
      <c r="E100" t="str">
        <f>IF(Churn_part[[#This Row],[Type_Forfait]]="Pro Monde", "B2B", "B2C")</f>
        <v>B2B</v>
      </c>
      <c r="F100">
        <v>290</v>
      </c>
      <c r="G100" s="8">
        <v>96.31</v>
      </c>
      <c r="H100">
        <v>1</v>
      </c>
      <c r="I10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00" s="8">
        <f>Churn_part[[#This Row],[Facture_Mensuelle]]*Churn_part[[#This Row],[Remise Client]]</f>
        <v>9.6310000000000002</v>
      </c>
    </row>
    <row r="101" spans="1:10" x14ac:dyDescent="0.3">
      <c r="A101" t="s">
        <v>137</v>
      </c>
      <c r="B101" t="s">
        <v>72</v>
      </c>
      <c r="C101">
        <v>74</v>
      </c>
      <c r="D101" t="s">
        <v>10</v>
      </c>
      <c r="E101" t="str">
        <f>IF(Churn_part[[#This Row],[Type_Forfait]]="Pro Monde", "B2B", "B2C")</f>
        <v>B2C</v>
      </c>
      <c r="F101">
        <v>208</v>
      </c>
      <c r="G101" s="8">
        <v>39.56</v>
      </c>
      <c r="H101">
        <v>0</v>
      </c>
      <c r="I10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01" s="8">
        <f>Churn_part[[#This Row],[Facture_Mensuelle]]*Churn_part[[#This Row],[Remise Client]]</f>
        <v>0</v>
      </c>
    </row>
    <row r="102" spans="1:10" x14ac:dyDescent="0.3">
      <c r="A102" t="s">
        <v>138</v>
      </c>
      <c r="B102" t="s">
        <v>23</v>
      </c>
      <c r="C102">
        <v>87</v>
      </c>
      <c r="D102" t="s">
        <v>13</v>
      </c>
      <c r="E102" t="str">
        <f>IF(Churn_part[[#This Row],[Type_Forfait]]="Pro Monde", "B2B", "B2C")</f>
        <v>B2B</v>
      </c>
      <c r="F102">
        <v>442</v>
      </c>
      <c r="G102" s="8">
        <v>22.39</v>
      </c>
      <c r="H102">
        <v>3</v>
      </c>
      <c r="I10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02" s="8">
        <f>Churn_part[[#This Row],[Facture_Mensuelle]]*Churn_part[[#This Row],[Remise Client]]</f>
        <v>2.2390000000000003</v>
      </c>
    </row>
    <row r="103" spans="1:10" x14ac:dyDescent="0.3">
      <c r="A103" t="s">
        <v>139</v>
      </c>
      <c r="B103" t="s">
        <v>36</v>
      </c>
      <c r="C103">
        <v>69</v>
      </c>
      <c r="D103" t="s">
        <v>18</v>
      </c>
      <c r="E103" t="str">
        <f>IF(Churn_part[[#This Row],[Type_Forfait]]="Pro Monde", "B2B", "B2C")</f>
        <v>B2C</v>
      </c>
      <c r="F103">
        <v>306</v>
      </c>
      <c r="G103" s="8">
        <v>13.97</v>
      </c>
      <c r="H103">
        <v>1</v>
      </c>
      <c r="I10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03" s="8">
        <f>Churn_part[[#This Row],[Facture_Mensuelle]]*Churn_part[[#This Row],[Remise Client]]</f>
        <v>6.2865000000000002</v>
      </c>
    </row>
    <row r="104" spans="1:10" x14ac:dyDescent="0.3">
      <c r="A104" t="s">
        <v>140</v>
      </c>
      <c r="B104" t="s">
        <v>56</v>
      </c>
      <c r="C104">
        <v>79</v>
      </c>
      <c r="D104" t="s">
        <v>21</v>
      </c>
      <c r="E104" t="str">
        <f>IF(Churn_part[[#This Row],[Type_Forfait]]="Pro Monde", "B2B", "B2C")</f>
        <v>B2C</v>
      </c>
      <c r="F104">
        <v>403</v>
      </c>
      <c r="G104" s="8">
        <v>21.49</v>
      </c>
      <c r="H104">
        <v>0</v>
      </c>
      <c r="I10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04" s="8">
        <f>Churn_part[[#This Row],[Facture_Mensuelle]]*Churn_part[[#This Row],[Remise Client]]</f>
        <v>9.6704999999999988</v>
      </c>
    </row>
    <row r="105" spans="1:10" x14ac:dyDescent="0.3">
      <c r="A105" t="s">
        <v>141</v>
      </c>
      <c r="B105" t="s">
        <v>56</v>
      </c>
      <c r="C105">
        <v>33</v>
      </c>
      <c r="D105" t="s">
        <v>21</v>
      </c>
      <c r="E105" t="str">
        <f>IF(Churn_part[[#This Row],[Type_Forfait]]="Pro Monde", "B2B", "B2C")</f>
        <v>B2C</v>
      </c>
      <c r="F105">
        <v>337</v>
      </c>
      <c r="G105" s="8">
        <v>62.61</v>
      </c>
      <c r="H105">
        <v>2</v>
      </c>
      <c r="I10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05" s="8">
        <f>Churn_part[[#This Row],[Facture_Mensuelle]]*Churn_part[[#This Row],[Remise Client]]</f>
        <v>28.174500000000002</v>
      </c>
    </row>
    <row r="106" spans="1:10" x14ac:dyDescent="0.3">
      <c r="A106" t="s">
        <v>142</v>
      </c>
      <c r="B106" t="s">
        <v>25</v>
      </c>
      <c r="C106">
        <v>88</v>
      </c>
      <c r="D106" t="s">
        <v>21</v>
      </c>
      <c r="E106" t="str">
        <f>IF(Churn_part[[#This Row],[Type_Forfait]]="Pro Monde", "B2B", "B2C")</f>
        <v>B2C</v>
      </c>
      <c r="F106">
        <v>319</v>
      </c>
      <c r="G106" s="8">
        <v>56.18</v>
      </c>
      <c r="H106">
        <v>0</v>
      </c>
      <c r="I10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06" s="8">
        <f>Churn_part[[#This Row],[Facture_Mensuelle]]*Churn_part[[#This Row],[Remise Client]]</f>
        <v>25.280999999999999</v>
      </c>
    </row>
    <row r="107" spans="1:10" x14ac:dyDescent="0.3">
      <c r="A107" t="s">
        <v>143</v>
      </c>
      <c r="B107" t="s">
        <v>20</v>
      </c>
      <c r="C107">
        <v>72</v>
      </c>
      <c r="D107" t="s">
        <v>10</v>
      </c>
      <c r="E107" t="str">
        <f>IF(Churn_part[[#This Row],[Type_Forfait]]="Pro Monde", "B2B", "B2C")</f>
        <v>B2C</v>
      </c>
      <c r="F107">
        <v>5</v>
      </c>
      <c r="G107" s="8">
        <v>68.650000000000006</v>
      </c>
      <c r="H107">
        <v>0</v>
      </c>
      <c r="I10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07" s="8">
        <f>Churn_part[[#This Row],[Facture_Mensuelle]]*Churn_part[[#This Row],[Remise Client]]</f>
        <v>0</v>
      </c>
    </row>
    <row r="108" spans="1:10" x14ac:dyDescent="0.3">
      <c r="A108" t="s">
        <v>144</v>
      </c>
      <c r="B108" t="s">
        <v>61</v>
      </c>
      <c r="C108">
        <v>114</v>
      </c>
      <c r="D108" t="s">
        <v>10</v>
      </c>
      <c r="E108" t="str">
        <f>IF(Churn_part[[#This Row],[Type_Forfait]]="Pro Monde", "B2B", "B2C")</f>
        <v>B2C</v>
      </c>
      <c r="F108">
        <v>232</v>
      </c>
      <c r="G108" s="8">
        <v>42.2</v>
      </c>
      <c r="H108">
        <v>2</v>
      </c>
      <c r="I10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08" s="8">
        <f>Churn_part[[#This Row],[Facture_Mensuelle]]*Churn_part[[#This Row],[Remise Client]]</f>
        <v>0</v>
      </c>
    </row>
    <row r="109" spans="1:10" x14ac:dyDescent="0.3">
      <c r="A109" t="s">
        <v>145</v>
      </c>
      <c r="B109" t="s">
        <v>66</v>
      </c>
      <c r="C109">
        <v>59</v>
      </c>
      <c r="D109" t="s">
        <v>18</v>
      </c>
      <c r="E109" t="str">
        <f>IF(Churn_part[[#This Row],[Type_Forfait]]="Pro Monde", "B2B", "B2C")</f>
        <v>B2C</v>
      </c>
      <c r="F109">
        <v>196</v>
      </c>
      <c r="G109" s="8">
        <v>62.53</v>
      </c>
      <c r="H109">
        <v>0</v>
      </c>
      <c r="I10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09" s="8">
        <f>Churn_part[[#This Row],[Facture_Mensuelle]]*Churn_part[[#This Row],[Remise Client]]</f>
        <v>0</v>
      </c>
    </row>
    <row r="110" spans="1:10" x14ac:dyDescent="0.3">
      <c r="A110" t="s">
        <v>146</v>
      </c>
      <c r="B110" t="s">
        <v>25</v>
      </c>
      <c r="C110">
        <v>1</v>
      </c>
      <c r="D110" t="s">
        <v>18</v>
      </c>
      <c r="E110" t="str">
        <f>IF(Churn_part[[#This Row],[Type_Forfait]]="Pro Monde", "B2B", "B2C")</f>
        <v>B2C</v>
      </c>
      <c r="F110">
        <v>237</v>
      </c>
      <c r="G110" s="8">
        <v>58.7</v>
      </c>
      <c r="H110">
        <v>4</v>
      </c>
      <c r="I11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10" s="8">
        <f>Churn_part[[#This Row],[Facture_Mensuelle]]*Churn_part[[#This Row],[Remise Client]]</f>
        <v>0</v>
      </c>
    </row>
    <row r="111" spans="1:10" x14ac:dyDescent="0.3">
      <c r="A111" t="s">
        <v>147</v>
      </c>
      <c r="B111" t="s">
        <v>36</v>
      </c>
      <c r="C111">
        <v>55</v>
      </c>
      <c r="D111" t="s">
        <v>18</v>
      </c>
      <c r="E111" t="str">
        <f>IF(Churn_part[[#This Row],[Type_Forfait]]="Pro Monde", "B2B", "B2C")</f>
        <v>B2C</v>
      </c>
      <c r="F111">
        <v>407</v>
      </c>
      <c r="G111" s="8">
        <v>23.11</v>
      </c>
      <c r="H111">
        <v>0</v>
      </c>
      <c r="I11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11" s="8">
        <f>Churn_part[[#This Row],[Facture_Mensuelle]]*Churn_part[[#This Row],[Remise Client]]</f>
        <v>10.3995</v>
      </c>
    </row>
    <row r="112" spans="1:10" x14ac:dyDescent="0.3">
      <c r="A112" t="s">
        <v>148</v>
      </c>
      <c r="B112" t="s">
        <v>36</v>
      </c>
      <c r="C112">
        <v>83</v>
      </c>
      <c r="D112" t="s">
        <v>13</v>
      </c>
      <c r="E112" t="str">
        <f>IF(Churn_part[[#This Row],[Type_Forfait]]="Pro Monde", "B2B", "B2C")</f>
        <v>B2B</v>
      </c>
      <c r="F112">
        <v>219</v>
      </c>
      <c r="G112" s="8">
        <v>52.26</v>
      </c>
      <c r="H112">
        <v>1</v>
      </c>
      <c r="I11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12" s="8">
        <f>Churn_part[[#This Row],[Facture_Mensuelle]]*Churn_part[[#This Row],[Remise Client]]</f>
        <v>5.226</v>
      </c>
    </row>
    <row r="113" spans="1:10" x14ac:dyDescent="0.3">
      <c r="A113" t="s">
        <v>149</v>
      </c>
      <c r="B113" t="s">
        <v>30</v>
      </c>
      <c r="C113">
        <v>87</v>
      </c>
      <c r="D113" t="s">
        <v>13</v>
      </c>
      <c r="E113" t="str">
        <f>IF(Churn_part[[#This Row],[Type_Forfait]]="Pro Monde", "B2B", "B2C")</f>
        <v>B2B</v>
      </c>
      <c r="F113">
        <v>450</v>
      </c>
      <c r="G113" s="8">
        <v>64.3</v>
      </c>
      <c r="H113">
        <v>2</v>
      </c>
      <c r="I11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13" s="8">
        <f>Churn_part[[#This Row],[Facture_Mensuelle]]*Churn_part[[#This Row],[Remise Client]]</f>
        <v>6.43</v>
      </c>
    </row>
    <row r="114" spans="1:10" x14ac:dyDescent="0.3">
      <c r="A114" t="s">
        <v>150</v>
      </c>
      <c r="B114" t="s">
        <v>32</v>
      </c>
      <c r="C114">
        <v>84</v>
      </c>
      <c r="D114" t="s">
        <v>18</v>
      </c>
      <c r="E114" t="str">
        <f>IF(Churn_part[[#This Row],[Type_Forfait]]="Pro Monde", "B2B", "B2C")</f>
        <v>B2C</v>
      </c>
      <c r="F114">
        <v>317</v>
      </c>
      <c r="G114" s="8">
        <v>36.200000000000003</v>
      </c>
      <c r="H114">
        <v>3</v>
      </c>
      <c r="I11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14" s="8">
        <f>Churn_part[[#This Row],[Facture_Mensuelle]]*Churn_part[[#This Row],[Remise Client]]</f>
        <v>16.290000000000003</v>
      </c>
    </row>
    <row r="115" spans="1:10" x14ac:dyDescent="0.3">
      <c r="A115" t="s">
        <v>151</v>
      </c>
      <c r="B115" t="s">
        <v>63</v>
      </c>
      <c r="C115">
        <v>7</v>
      </c>
      <c r="D115" t="s">
        <v>10</v>
      </c>
      <c r="E115" t="str">
        <f>IF(Churn_part[[#This Row],[Type_Forfait]]="Pro Monde", "B2B", "B2C")</f>
        <v>B2C</v>
      </c>
      <c r="F115">
        <v>317</v>
      </c>
      <c r="G115" s="8">
        <v>97.32</v>
      </c>
      <c r="H115">
        <v>1</v>
      </c>
      <c r="I11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15" s="8">
        <f>Churn_part[[#This Row],[Facture_Mensuelle]]*Churn_part[[#This Row],[Remise Client]]</f>
        <v>43.793999999999997</v>
      </c>
    </row>
    <row r="116" spans="1:10" x14ac:dyDescent="0.3">
      <c r="A116" t="s">
        <v>152</v>
      </c>
      <c r="B116" t="s">
        <v>32</v>
      </c>
      <c r="C116">
        <v>110</v>
      </c>
      <c r="D116" t="s">
        <v>10</v>
      </c>
      <c r="E116" t="str">
        <f>IF(Churn_part[[#This Row],[Type_Forfait]]="Pro Monde", "B2B", "B2C")</f>
        <v>B2C</v>
      </c>
      <c r="F116">
        <v>51</v>
      </c>
      <c r="G116" s="8">
        <v>56.59</v>
      </c>
      <c r="H116">
        <v>5</v>
      </c>
      <c r="I11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16" s="8">
        <f>Churn_part[[#This Row],[Facture_Mensuelle]]*Churn_part[[#This Row],[Remise Client]]</f>
        <v>0</v>
      </c>
    </row>
    <row r="117" spans="1:10" x14ac:dyDescent="0.3">
      <c r="A117" t="s">
        <v>153</v>
      </c>
      <c r="B117" t="s">
        <v>15</v>
      </c>
      <c r="C117">
        <v>42</v>
      </c>
      <c r="D117" t="s">
        <v>21</v>
      </c>
      <c r="E117" t="str">
        <f>IF(Churn_part[[#This Row],[Type_Forfait]]="Pro Monde", "B2B", "B2C")</f>
        <v>B2C</v>
      </c>
      <c r="F117">
        <v>173</v>
      </c>
      <c r="G117" s="8">
        <v>69.19</v>
      </c>
      <c r="H117">
        <v>4</v>
      </c>
      <c r="I11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17" s="8">
        <f>Churn_part[[#This Row],[Facture_Mensuelle]]*Churn_part[[#This Row],[Remise Client]]</f>
        <v>0</v>
      </c>
    </row>
    <row r="118" spans="1:10" x14ac:dyDescent="0.3">
      <c r="A118" t="s">
        <v>154</v>
      </c>
      <c r="B118" t="s">
        <v>129</v>
      </c>
      <c r="C118">
        <v>56</v>
      </c>
      <c r="D118" t="s">
        <v>18</v>
      </c>
      <c r="E118" t="str">
        <f>IF(Churn_part[[#This Row],[Type_Forfait]]="Pro Monde", "B2B", "B2C")</f>
        <v>B2C</v>
      </c>
      <c r="F118">
        <v>333</v>
      </c>
      <c r="G118" s="8">
        <v>23.01</v>
      </c>
      <c r="H118">
        <v>2</v>
      </c>
      <c r="I11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18" s="8">
        <f>Churn_part[[#This Row],[Facture_Mensuelle]]*Churn_part[[#This Row],[Remise Client]]</f>
        <v>10.354500000000002</v>
      </c>
    </row>
    <row r="119" spans="1:10" x14ac:dyDescent="0.3">
      <c r="A119" t="s">
        <v>155</v>
      </c>
      <c r="B119" t="s">
        <v>50</v>
      </c>
      <c r="C119">
        <v>109</v>
      </c>
      <c r="D119" t="s">
        <v>13</v>
      </c>
      <c r="E119" t="str">
        <f>IF(Churn_part[[#This Row],[Type_Forfait]]="Pro Monde", "B2B", "B2C")</f>
        <v>B2B</v>
      </c>
      <c r="F119">
        <v>480</v>
      </c>
      <c r="G119" s="8">
        <v>31.36</v>
      </c>
      <c r="H119">
        <v>0</v>
      </c>
      <c r="I11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19" s="8">
        <f>Churn_part[[#This Row],[Facture_Mensuelle]]*Churn_part[[#This Row],[Remise Client]]</f>
        <v>3.1360000000000001</v>
      </c>
    </row>
    <row r="120" spans="1:10" x14ac:dyDescent="0.3">
      <c r="A120" t="s">
        <v>156</v>
      </c>
      <c r="B120" t="s">
        <v>66</v>
      </c>
      <c r="C120">
        <v>53</v>
      </c>
      <c r="D120" t="s">
        <v>21</v>
      </c>
      <c r="E120" t="str">
        <f>IF(Churn_part[[#This Row],[Type_Forfait]]="Pro Monde", "B2B", "B2C")</f>
        <v>B2C</v>
      </c>
      <c r="F120">
        <v>345</v>
      </c>
      <c r="G120" s="8">
        <v>83.73</v>
      </c>
      <c r="H120">
        <v>0</v>
      </c>
      <c r="I12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20" s="8">
        <f>Churn_part[[#This Row],[Facture_Mensuelle]]*Churn_part[[#This Row],[Remise Client]]</f>
        <v>37.6785</v>
      </c>
    </row>
    <row r="121" spans="1:10" x14ac:dyDescent="0.3">
      <c r="A121" t="s">
        <v>157</v>
      </c>
      <c r="B121" t="s">
        <v>87</v>
      </c>
      <c r="C121">
        <v>36</v>
      </c>
      <c r="D121" t="s">
        <v>10</v>
      </c>
      <c r="E121" t="str">
        <f>IF(Churn_part[[#This Row],[Type_Forfait]]="Pro Monde", "B2B", "B2C")</f>
        <v>B2C</v>
      </c>
      <c r="F121">
        <v>400</v>
      </c>
      <c r="G121" s="8">
        <v>60.35</v>
      </c>
      <c r="H121">
        <v>1</v>
      </c>
      <c r="I12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21" s="8">
        <f>Churn_part[[#This Row],[Facture_Mensuelle]]*Churn_part[[#This Row],[Remise Client]]</f>
        <v>27.157500000000002</v>
      </c>
    </row>
    <row r="122" spans="1:10" x14ac:dyDescent="0.3">
      <c r="A122" t="s">
        <v>158</v>
      </c>
      <c r="B122" t="s">
        <v>72</v>
      </c>
      <c r="C122">
        <v>16</v>
      </c>
      <c r="D122" t="s">
        <v>18</v>
      </c>
      <c r="E122" t="str">
        <f>IF(Churn_part[[#This Row],[Type_Forfait]]="Pro Monde", "B2B", "B2C")</f>
        <v>B2C</v>
      </c>
      <c r="F122">
        <v>13</v>
      </c>
      <c r="G122" s="8">
        <v>14.91</v>
      </c>
      <c r="H122">
        <v>1</v>
      </c>
      <c r="I12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22" s="8">
        <f>Churn_part[[#This Row],[Facture_Mensuelle]]*Churn_part[[#This Row],[Remise Client]]</f>
        <v>0</v>
      </c>
    </row>
    <row r="123" spans="1:10" x14ac:dyDescent="0.3">
      <c r="A123" t="s">
        <v>159</v>
      </c>
      <c r="B123" t="s">
        <v>25</v>
      </c>
      <c r="C123">
        <v>88</v>
      </c>
      <c r="D123" t="s">
        <v>10</v>
      </c>
      <c r="E123" t="str">
        <f>IF(Churn_part[[#This Row],[Type_Forfait]]="Pro Monde", "B2B", "B2C")</f>
        <v>B2C</v>
      </c>
      <c r="F123">
        <v>232</v>
      </c>
      <c r="G123" s="8">
        <v>40.94</v>
      </c>
      <c r="H123">
        <v>2</v>
      </c>
      <c r="I12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23" s="8">
        <f>Churn_part[[#This Row],[Facture_Mensuelle]]*Churn_part[[#This Row],[Remise Client]]</f>
        <v>0</v>
      </c>
    </row>
    <row r="124" spans="1:10" x14ac:dyDescent="0.3">
      <c r="A124" t="s">
        <v>160</v>
      </c>
      <c r="B124" t="s">
        <v>28</v>
      </c>
      <c r="C124">
        <v>67</v>
      </c>
      <c r="D124" t="s">
        <v>21</v>
      </c>
      <c r="E124" t="str">
        <f>IF(Churn_part[[#This Row],[Type_Forfait]]="Pro Monde", "B2B", "B2C")</f>
        <v>B2C</v>
      </c>
      <c r="F124">
        <v>264</v>
      </c>
      <c r="G124" s="8">
        <v>97.89</v>
      </c>
      <c r="H124">
        <v>1</v>
      </c>
      <c r="I12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24" s="8">
        <f>Churn_part[[#This Row],[Facture_Mensuelle]]*Churn_part[[#This Row],[Remise Client]]</f>
        <v>44.0505</v>
      </c>
    </row>
    <row r="125" spans="1:10" x14ac:dyDescent="0.3">
      <c r="A125" t="s">
        <v>161</v>
      </c>
      <c r="B125" t="s">
        <v>59</v>
      </c>
      <c r="C125">
        <v>60</v>
      </c>
      <c r="D125" t="s">
        <v>18</v>
      </c>
      <c r="E125" t="str">
        <f>IF(Churn_part[[#This Row],[Type_Forfait]]="Pro Monde", "B2B", "B2C")</f>
        <v>B2C</v>
      </c>
      <c r="F125">
        <v>168</v>
      </c>
      <c r="G125" s="8">
        <v>67.650000000000006</v>
      </c>
      <c r="H125">
        <v>1</v>
      </c>
      <c r="I12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25" s="8">
        <f>Churn_part[[#This Row],[Facture_Mensuelle]]*Churn_part[[#This Row],[Remise Client]]</f>
        <v>0</v>
      </c>
    </row>
    <row r="126" spans="1:10" x14ac:dyDescent="0.3">
      <c r="A126" t="s">
        <v>162</v>
      </c>
      <c r="B126" t="s">
        <v>32</v>
      </c>
      <c r="C126">
        <v>64</v>
      </c>
      <c r="D126" t="s">
        <v>13</v>
      </c>
      <c r="E126" t="str">
        <f>IF(Churn_part[[#This Row],[Type_Forfait]]="Pro Monde", "B2B", "B2C")</f>
        <v>B2B</v>
      </c>
      <c r="F126">
        <v>300</v>
      </c>
      <c r="G126" s="8">
        <v>28.11</v>
      </c>
      <c r="H126">
        <v>2</v>
      </c>
      <c r="I12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26" s="8">
        <f>Churn_part[[#This Row],[Facture_Mensuelle]]*Churn_part[[#This Row],[Remise Client]]</f>
        <v>2.8109999999999999</v>
      </c>
    </row>
    <row r="127" spans="1:10" x14ac:dyDescent="0.3">
      <c r="A127" t="s">
        <v>163</v>
      </c>
      <c r="B127" t="s">
        <v>12</v>
      </c>
      <c r="C127">
        <v>47</v>
      </c>
      <c r="D127" t="s">
        <v>18</v>
      </c>
      <c r="E127" t="str">
        <f>IF(Churn_part[[#This Row],[Type_Forfait]]="Pro Monde", "B2B", "B2C")</f>
        <v>B2C</v>
      </c>
      <c r="F127">
        <v>98</v>
      </c>
      <c r="G127" s="8">
        <v>16.16</v>
      </c>
      <c r="H127">
        <v>5</v>
      </c>
      <c r="I12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27" s="8">
        <f>Churn_part[[#This Row],[Facture_Mensuelle]]*Churn_part[[#This Row],[Remise Client]]</f>
        <v>0</v>
      </c>
    </row>
    <row r="128" spans="1:10" x14ac:dyDescent="0.3">
      <c r="A128" t="s">
        <v>164</v>
      </c>
      <c r="B128" t="s">
        <v>17</v>
      </c>
      <c r="C128">
        <v>67</v>
      </c>
      <c r="D128" t="s">
        <v>13</v>
      </c>
      <c r="E128" t="str">
        <f>IF(Churn_part[[#This Row],[Type_Forfait]]="Pro Monde", "B2B", "B2C")</f>
        <v>B2B</v>
      </c>
      <c r="F128">
        <v>55</v>
      </c>
      <c r="G128" s="8">
        <v>27.04</v>
      </c>
      <c r="H128">
        <v>1</v>
      </c>
      <c r="I12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28" s="8">
        <f>Churn_part[[#This Row],[Facture_Mensuelle]]*Churn_part[[#This Row],[Remise Client]]</f>
        <v>2.7040000000000002</v>
      </c>
    </row>
    <row r="129" spans="1:10" x14ac:dyDescent="0.3">
      <c r="A129" t="s">
        <v>165</v>
      </c>
      <c r="B129" t="s">
        <v>87</v>
      </c>
      <c r="C129">
        <v>98</v>
      </c>
      <c r="D129" t="s">
        <v>18</v>
      </c>
      <c r="E129" t="str">
        <f>IF(Churn_part[[#This Row],[Type_Forfait]]="Pro Monde", "B2B", "B2C")</f>
        <v>B2C</v>
      </c>
      <c r="F129">
        <v>52</v>
      </c>
      <c r="G129" s="8">
        <v>52.82</v>
      </c>
      <c r="H129">
        <v>2</v>
      </c>
      <c r="I12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29" s="8">
        <f>Churn_part[[#This Row],[Facture_Mensuelle]]*Churn_part[[#This Row],[Remise Client]]</f>
        <v>0</v>
      </c>
    </row>
    <row r="130" spans="1:10" x14ac:dyDescent="0.3">
      <c r="A130" t="s">
        <v>166</v>
      </c>
      <c r="B130" t="s">
        <v>12</v>
      </c>
      <c r="C130">
        <v>6</v>
      </c>
      <c r="D130" t="s">
        <v>18</v>
      </c>
      <c r="E130" t="str">
        <f>IF(Churn_part[[#This Row],[Type_Forfait]]="Pro Monde", "B2B", "B2C")</f>
        <v>B2C</v>
      </c>
      <c r="F130">
        <v>6</v>
      </c>
      <c r="G130" s="8">
        <v>72.27</v>
      </c>
      <c r="H130">
        <v>4</v>
      </c>
      <c r="I13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30" s="8">
        <f>Churn_part[[#This Row],[Facture_Mensuelle]]*Churn_part[[#This Row],[Remise Client]]</f>
        <v>0</v>
      </c>
    </row>
    <row r="131" spans="1:10" x14ac:dyDescent="0.3">
      <c r="A131" t="s">
        <v>167</v>
      </c>
      <c r="B131" t="s">
        <v>12</v>
      </c>
      <c r="C131">
        <v>114</v>
      </c>
      <c r="D131" t="s">
        <v>18</v>
      </c>
      <c r="E131" t="str">
        <f>IF(Churn_part[[#This Row],[Type_Forfait]]="Pro Monde", "B2B", "B2C")</f>
        <v>B2C</v>
      </c>
      <c r="F131">
        <v>304</v>
      </c>
      <c r="G131" s="8">
        <v>52.07</v>
      </c>
      <c r="H131">
        <v>1</v>
      </c>
      <c r="I13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31" s="8">
        <f>Churn_part[[#This Row],[Facture_Mensuelle]]*Churn_part[[#This Row],[Remise Client]]</f>
        <v>23.4315</v>
      </c>
    </row>
    <row r="132" spans="1:10" x14ac:dyDescent="0.3">
      <c r="A132" t="s">
        <v>168</v>
      </c>
      <c r="B132" t="s">
        <v>30</v>
      </c>
      <c r="C132">
        <v>93</v>
      </c>
      <c r="D132" t="s">
        <v>18</v>
      </c>
      <c r="E132" t="str">
        <f>IF(Churn_part[[#This Row],[Type_Forfait]]="Pro Monde", "B2B", "B2C")</f>
        <v>B2C</v>
      </c>
      <c r="F132">
        <v>365</v>
      </c>
      <c r="G132" s="8">
        <v>72.319999999999993</v>
      </c>
      <c r="H132">
        <v>1</v>
      </c>
      <c r="I13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32" s="8">
        <f>Churn_part[[#This Row],[Facture_Mensuelle]]*Churn_part[[#This Row],[Remise Client]]</f>
        <v>32.543999999999997</v>
      </c>
    </row>
    <row r="133" spans="1:10" x14ac:dyDescent="0.3">
      <c r="A133" t="s">
        <v>169</v>
      </c>
      <c r="B133" t="s">
        <v>87</v>
      </c>
      <c r="C133">
        <v>29</v>
      </c>
      <c r="D133" t="s">
        <v>13</v>
      </c>
      <c r="E133" t="str">
        <f>IF(Churn_part[[#This Row],[Type_Forfait]]="Pro Monde", "B2B", "B2C")</f>
        <v>B2B</v>
      </c>
      <c r="F133">
        <v>34</v>
      </c>
      <c r="G133" s="8">
        <v>86.68</v>
      </c>
      <c r="H133">
        <v>1</v>
      </c>
      <c r="I13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33" s="8">
        <f>Churn_part[[#This Row],[Facture_Mensuelle]]*Churn_part[[#This Row],[Remise Client]]</f>
        <v>8.668000000000001</v>
      </c>
    </row>
    <row r="134" spans="1:10" x14ac:dyDescent="0.3">
      <c r="A134" t="s">
        <v>170</v>
      </c>
      <c r="B134" t="s">
        <v>28</v>
      </c>
      <c r="C134">
        <v>7</v>
      </c>
      <c r="D134" t="s">
        <v>10</v>
      </c>
      <c r="E134" t="str">
        <f>IF(Churn_part[[#This Row],[Type_Forfait]]="Pro Monde", "B2B", "B2C")</f>
        <v>B2C</v>
      </c>
      <c r="F134">
        <v>303</v>
      </c>
      <c r="G134" s="8">
        <v>60.95</v>
      </c>
      <c r="H134">
        <v>0</v>
      </c>
      <c r="I13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34" s="8">
        <f>Churn_part[[#This Row],[Facture_Mensuelle]]*Churn_part[[#This Row],[Remise Client]]</f>
        <v>27.427500000000002</v>
      </c>
    </row>
    <row r="135" spans="1:10" x14ac:dyDescent="0.3">
      <c r="A135" t="s">
        <v>171</v>
      </c>
      <c r="B135" t="s">
        <v>87</v>
      </c>
      <c r="C135">
        <v>118</v>
      </c>
      <c r="D135" t="s">
        <v>21</v>
      </c>
      <c r="E135" t="str">
        <f>IF(Churn_part[[#This Row],[Type_Forfait]]="Pro Monde", "B2B", "B2C")</f>
        <v>B2C</v>
      </c>
      <c r="F135">
        <v>430</v>
      </c>
      <c r="G135" s="8">
        <v>36.97</v>
      </c>
      <c r="H135">
        <v>2</v>
      </c>
      <c r="I13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35" s="8">
        <f>Churn_part[[#This Row],[Facture_Mensuelle]]*Churn_part[[#This Row],[Remise Client]]</f>
        <v>16.636500000000002</v>
      </c>
    </row>
    <row r="136" spans="1:10" x14ac:dyDescent="0.3">
      <c r="A136" t="s">
        <v>172</v>
      </c>
      <c r="B136" t="s">
        <v>43</v>
      </c>
      <c r="C136">
        <v>54</v>
      </c>
      <c r="D136" t="s">
        <v>18</v>
      </c>
      <c r="E136" t="str">
        <f>IF(Churn_part[[#This Row],[Type_Forfait]]="Pro Monde", "B2B", "B2C")</f>
        <v>B2C</v>
      </c>
      <c r="F136">
        <v>99</v>
      </c>
      <c r="G136" s="8">
        <v>39.58</v>
      </c>
      <c r="H136">
        <v>0</v>
      </c>
      <c r="I13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36" s="8">
        <f>Churn_part[[#This Row],[Facture_Mensuelle]]*Churn_part[[#This Row],[Remise Client]]</f>
        <v>0</v>
      </c>
    </row>
    <row r="137" spans="1:10" x14ac:dyDescent="0.3">
      <c r="A137" t="s">
        <v>173</v>
      </c>
      <c r="B137" t="s">
        <v>17</v>
      </c>
      <c r="C137">
        <v>69</v>
      </c>
      <c r="D137" t="s">
        <v>13</v>
      </c>
      <c r="E137" t="str">
        <f>IF(Churn_part[[#This Row],[Type_Forfait]]="Pro Monde", "B2B", "B2C")</f>
        <v>B2B</v>
      </c>
      <c r="F137">
        <v>463</v>
      </c>
      <c r="G137" s="8">
        <v>19.440000000000001</v>
      </c>
      <c r="H137">
        <v>0</v>
      </c>
      <c r="I13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37" s="8">
        <f>Churn_part[[#This Row],[Facture_Mensuelle]]*Churn_part[[#This Row],[Remise Client]]</f>
        <v>1.9440000000000002</v>
      </c>
    </row>
    <row r="138" spans="1:10" x14ac:dyDescent="0.3">
      <c r="A138" t="s">
        <v>174</v>
      </c>
      <c r="B138" t="s">
        <v>39</v>
      </c>
      <c r="C138">
        <v>58</v>
      </c>
      <c r="D138" t="s">
        <v>18</v>
      </c>
      <c r="E138" t="str">
        <f>IF(Churn_part[[#This Row],[Type_Forfait]]="Pro Monde", "B2B", "B2C")</f>
        <v>B2C</v>
      </c>
      <c r="F138">
        <v>293</v>
      </c>
      <c r="G138" s="8">
        <v>88.85</v>
      </c>
      <c r="H138">
        <v>5</v>
      </c>
      <c r="I13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38" s="8">
        <f>Churn_part[[#This Row],[Facture_Mensuelle]]*Churn_part[[#This Row],[Remise Client]]</f>
        <v>39.982500000000002</v>
      </c>
    </row>
    <row r="139" spans="1:10" x14ac:dyDescent="0.3">
      <c r="A139" t="s">
        <v>175</v>
      </c>
      <c r="B139" t="s">
        <v>43</v>
      </c>
      <c r="C139">
        <v>41</v>
      </c>
      <c r="D139" t="s">
        <v>10</v>
      </c>
      <c r="E139" t="str">
        <f>IF(Churn_part[[#This Row],[Type_Forfait]]="Pro Monde", "B2B", "B2C")</f>
        <v>B2C</v>
      </c>
      <c r="F139">
        <v>64</v>
      </c>
      <c r="G139" s="8">
        <v>91.95</v>
      </c>
      <c r="H139">
        <v>1</v>
      </c>
      <c r="I13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39" s="8">
        <f>Churn_part[[#This Row],[Facture_Mensuelle]]*Churn_part[[#This Row],[Remise Client]]</f>
        <v>0</v>
      </c>
    </row>
    <row r="140" spans="1:10" x14ac:dyDescent="0.3">
      <c r="A140" t="s">
        <v>176</v>
      </c>
      <c r="B140" t="s">
        <v>66</v>
      </c>
      <c r="C140">
        <v>1</v>
      </c>
      <c r="D140" t="s">
        <v>13</v>
      </c>
      <c r="E140" t="str">
        <f>IF(Churn_part[[#This Row],[Type_Forfait]]="Pro Monde", "B2B", "B2C")</f>
        <v>B2B</v>
      </c>
      <c r="F140">
        <v>326</v>
      </c>
      <c r="G140" s="8">
        <v>54.63</v>
      </c>
      <c r="H140">
        <v>3</v>
      </c>
      <c r="I14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40" s="8">
        <f>Churn_part[[#This Row],[Facture_Mensuelle]]*Churn_part[[#This Row],[Remise Client]]</f>
        <v>5.463000000000001</v>
      </c>
    </row>
    <row r="141" spans="1:10" x14ac:dyDescent="0.3">
      <c r="A141" t="s">
        <v>177</v>
      </c>
      <c r="B141" t="s">
        <v>87</v>
      </c>
      <c r="C141">
        <v>51</v>
      </c>
      <c r="D141" t="s">
        <v>18</v>
      </c>
      <c r="E141" t="str">
        <f>IF(Churn_part[[#This Row],[Type_Forfait]]="Pro Monde", "B2B", "B2C")</f>
        <v>B2C</v>
      </c>
      <c r="F141">
        <v>260</v>
      </c>
      <c r="G141" s="8">
        <v>92.8</v>
      </c>
      <c r="H141">
        <v>5</v>
      </c>
      <c r="I14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41" s="8">
        <f>Churn_part[[#This Row],[Facture_Mensuelle]]*Churn_part[[#This Row],[Remise Client]]</f>
        <v>41.76</v>
      </c>
    </row>
    <row r="142" spans="1:10" x14ac:dyDescent="0.3">
      <c r="A142" t="s">
        <v>178</v>
      </c>
      <c r="B142" t="s">
        <v>56</v>
      </c>
      <c r="C142">
        <v>25</v>
      </c>
      <c r="D142" t="s">
        <v>18</v>
      </c>
      <c r="E142" t="str">
        <f>IF(Churn_part[[#This Row],[Type_Forfait]]="Pro Monde", "B2B", "B2C")</f>
        <v>B2C</v>
      </c>
      <c r="F142">
        <v>131</v>
      </c>
      <c r="G142" s="8">
        <v>67.489999999999995</v>
      </c>
      <c r="H142">
        <v>0</v>
      </c>
      <c r="I14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42" s="8">
        <f>Churn_part[[#This Row],[Facture_Mensuelle]]*Churn_part[[#This Row],[Remise Client]]</f>
        <v>0</v>
      </c>
    </row>
    <row r="143" spans="1:10" x14ac:dyDescent="0.3">
      <c r="A143" t="s">
        <v>179</v>
      </c>
      <c r="B143" t="s">
        <v>72</v>
      </c>
      <c r="C143">
        <v>43</v>
      </c>
      <c r="D143" t="s">
        <v>18</v>
      </c>
      <c r="E143" t="str">
        <f>IF(Churn_part[[#This Row],[Type_Forfait]]="Pro Monde", "B2B", "B2C")</f>
        <v>B2C</v>
      </c>
      <c r="F143">
        <v>181</v>
      </c>
      <c r="G143" s="8">
        <v>72.39</v>
      </c>
      <c r="H143">
        <v>2</v>
      </c>
      <c r="I14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43" s="8">
        <f>Churn_part[[#This Row],[Facture_Mensuelle]]*Churn_part[[#This Row],[Remise Client]]</f>
        <v>0</v>
      </c>
    </row>
    <row r="144" spans="1:10" x14ac:dyDescent="0.3">
      <c r="A144" t="s">
        <v>180</v>
      </c>
      <c r="B144" t="s">
        <v>17</v>
      </c>
      <c r="C144">
        <v>11</v>
      </c>
      <c r="D144" t="s">
        <v>18</v>
      </c>
      <c r="E144" t="str">
        <f>IF(Churn_part[[#This Row],[Type_Forfait]]="Pro Monde", "B2B", "B2C")</f>
        <v>B2C</v>
      </c>
      <c r="F144">
        <v>215</v>
      </c>
      <c r="G144" s="8">
        <v>51.99</v>
      </c>
      <c r="H144">
        <v>1</v>
      </c>
      <c r="I14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44" s="8">
        <f>Churn_part[[#This Row],[Facture_Mensuelle]]*Churn_part[[#This Row],[Remise Client]]</f>
        <v>0</v>
      </c>
    </row>
    <row r="145" spans="1:10" x14ac:dyDescent="0.3">
      <c r="A145" t="s">
        <v>181</v>
      </c>
      <c r="B145" t="s">
        <v>23</v>
      </c>
      <c r="C145">
        <v>113</v>
      </c>
      <c r="D145" t="s">
        <v>10</v>
      </c>
      <c r="E145" t="str">
        <f>IF(Churn_part[[#This Row],[Type_Forfait]]="Pro Monde", "B2B", "B2C")</f>
        <v>B2C</v>
      </c>
      <c r="F145">
        <v>246</v>
      </c>
      <c r="G145" s="8">
        <v>29.18</v>
      </c>
      <c r="H145">
        <v>2</v>
      </c>
      <c r="I14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45" s="8">
        <f>Churn_part[[#This Row],[Facture_Mensuelle]]*Churn_part[[#This Row],[Remise Client]]</f>
        <v>13.131</v>
      </c>
    </row>
    <row r="146" spans="1:10" x14ac:dyDescent="0.3">
      <c r="A146" t="s">
        <v>182</v>
      </c>
      <c r="B146" t="s">
        <v>66</v>
      </c>
      <c r="C146">
        <v>74</v>
      </c>
      <c r="D146" t="s">
        <v>13</v>
      </c>
      <c r="E146" t="str">
        <f>IF(Churn_part[[#This Row],[Type_Forfait]]="Pro Monde", "B2B", "B2C")</f>
        <v>B2B</v>
      </c>
      <c r="F146">
        <v>371</v>
      </c>
      <c r="G146" s="8">
        <v>53.27</v>
      </c>
      <c r="H146">
        <v>3</v>
      </c>
      <c r="I14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46" s="8">
        <f>Churn_part[[#This Row],[Facture_Mensuelle]]*Churn_part[[#This Row],[Remise Client]]</f>
        <v>5.3270000000000008</v>
      </c>
    </row>
    <row r="147" spans="1:10" x14ac:dyDescent="0.3">
      <c r="A147" t="s">
        <v>183</v>
      </c>
      <c r="B147" t="s">
        <v>32</v>
      </c>
      <c r="C147">
        <v>104</v>
      </c>
      <c r="D147" t="s">
        <v>13</v>
      </c>
      <c r="E147" t="str">
        <f>IF(Churn_part[[#This Row],[Type_Forfait]]="Pro Monde", "B2B", "B2C")</f>
        <v>B2B</v>
      </c>
      <c r="F147">
        <v>317</v>
      </c>
      <c r="G147" s="8">
        <v>79.150000000000006</v>
      </c>
      <c r="H147">
        <v>1</v>
      </c>
      <c r="I14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47" s="8">
        <f>Churn_part[[#This Row],[Facture_Mensuelle]]*Churn_part[[#This Row],[Remise Client]]</f>
        <v>7.9150000000000009</v>
      </c>
    </row>
    <row r="148" spans="1:10" x14ac:dyDescent="0.3">
      <c r="A148" t="s">
        <v>184</v>
      </c>
      <c r="B148" t="s">
        <v>12</v>
      </c>
      <c r="C148">
        <v>4</v>
      </c>
      <c r="D148" t="s">
        <v>18</v>
      </c>
      <c r="E148" t="str">
        <f>IF(Churn_part[[#This Row],[Type_Forfait]]="Pro Monde", "B2B", "B2C")</f>
        <v>B2C</v>
      </c>
      <c r="F148">
        <v>227</v>
      </c>
      <c r="G148" s="8">
        <v>83.32</v>
      </c>
      <c r="H148">
        <v>2</v>
      </c>
      <c r="I14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48" s="8">
        <f>Churn_part[[#This Row],[Facture_Mensuelle]]*Churn_part[[#This Row],[Remise Client]]</f>
        <v>0</v>
      </c>
    </row>
    <row r="149" spans="1:10" x14ac:dyDescent="0.3">
      <c r="A149" t="s">
        <v>185</v>
      </c>
      <c r="B149" t="s">
        <v>63</v>
      </c>
      <c r="C149">
        <v>95</v>
      </c>
      <c r="D149" t="s">
        <v>13</v>
      </c>
      <c r="E149" t="str">
        <f>IF(Churn_part[[#This Row],[Type_Forfait]]="Pro Monde", "B2B", "B2C")</f>
        <v>B2B</v>
      </c>
      <c r="F149">
        <v>95</v>
      </c>
      <c r="G149" s="8">
        <v>82.65</v>
      </c>
      <c r="H149">
        <v>2</v>
      </c>
      <c r="I14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49" s="8">
        <f>Churn_part[[#This Row],[Facture_Mensuelle]]*Churn_part[[#This Row],[Remise Client]]</f>
        <v>8.2650000000000006</v>
      </c>
    </row>
    <row r="150" spans="1:10" x14ac:dyDescent="0.3">
      <c r="A150" t="s">
        <v>186</v>
      </c>
      <c r="B150" t="s">
        <v>36</v>
      </c>
      <c r="C150">
        <v>29</v>
      </c>
      <c r="D150" t="s">
        <v>21</v>
      </c>
      <c r="E150" t="str">
        <f>IF(Churn_part[[#This Row],[Type_Forfait]]="Pro Monde", "B2B", "B2C")</f>
        <v>B2C</v>
      </c>
      <c r="F150">
        <v>124</v>
      </c>
      <c r="G150" s="8">
        <v>43.83</v>
      </c>
      <c r="H150">
        <v>5</v>
      </c>
      <c r="I15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50" s="8">
        <f>Churn_part[[#This Row],[Facture_Mensuelle]]*Churn_part[[#This Row],[Remise Client]]</f>
        <v>0</v>
      </c>
    </row>
    <row r="151" spans="1:10" x14ac:dyDescent="0.3">
      <c r="A151" t="s">
        <v>187</v>
      </c>
      <c r="B151" t="s">
        <v>30</v>
      </c>
      <c r="C151">
        <v>97</v>
      </c>
      <c r="D151" t="s">
        <v>18</v>
      </c>
      <c r="E151" t="str">
        <f>IF(Churn_part[[#This Row],[Type_Forfait]]="Pro Monde", "B2B", "B2C")</f>
        <v>B2C</v>
      </c>
      <c r="F151">
        <v>484</v>
      </c>
      <c r="G151" s="8">
        <v>61.98</v>
      </c>
      <c r="H151">
        <v>1</v>
      </c>
      <c r="I15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51" s="8">
        <f>Churn_part[[#This Row],[Facture_Mensuelle]]*Churn_part[[#This Row],[Remise Client]]</f>
        <v>27.890999999999998</v>
      </c>
    </row>
    <row r="152" spans="1:10" x14ac:dyDescent="0.3">
      <c r="A152" t="s">
        <v>188</v>
      </c>
      <c r="B152" t="s">
        <v>9</v>
      </c>
      <c r="C152">
        <v>113</v>
      </c>
      <c r="D152" t="s">
        <v>10</v>
      </c>
      <c r="E152" t="str">
        <f>IF(Churn_part[[#This Row],[Type_Forfait]]="Pro Monde", "B2B", "B2C")</f>
        <v>B2C</v>
      </c>
      <c r="F152">
        <v>207</v>
      </c>
      <c r="G152" s="8">
        <v>21.55</v>
      </c>
      <c r="H152">
        <v>0</v>
      </c>
      <c r="I15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52" s="8">
        <f>Churn_part[[#This Row],[Facture_Mensuelle]]*Churn_part[[#This Row],[Remise Client]]</f>
        <v>0</v>
      </c>
    </row>
    <row r="153" spans="1:10" x14ac:dyDescent="0.3">
      <c r="A153" t="s">
        <v>189</v>
      </c>
      <c r="B153" t="s">
        <v>36</v>
      </c>
      <c r="C153">
        <v>83</v>
      </c>
      <c r="D153" t="s">
        <v>13</v>
      </c>
      <c r="E153" t="str">
        <f>IF(Churn_part[[#This Row],[Type_Forfait]]="Pro Monde", "B2B", "B2C")</f>
        <v>B2B</v>
      </c>
      <c r="F153">
        <v>420</v>
      </c>
      <c r="G153" s="8">
        <v>94.9</v>
      </c>
      <c r="H153">
        <v>1</v>
      </c>
      <c r="I15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53" s="8">
        <f>Churn_part[[#This Row],[Facture_Mensuelle]]*Churn_part[[#This Row],[Remise Client]]</f>
        <v>9.49</v>
      </c>
    </row>
    <row r="154" spans="1:10" x14ac:dyDescent="0.3">
      <c r="A154" t="s">
        <v>190</v>
      </c>
      <c r="B154" t="s">
        <v>39</v>
      </c>
      <c r="C154">
        <v>97</v>
      </c>
      <c r="D154" t="s">
        <v>10</v>
      </c>
      <c r="E154" t="str">
        <f>IF(Churn_part[[#This Row],[Type_Forfait]]="Pro Monde", "B2B", "B2C")</f>
        <v>B2C</v>
      </c>
      <c r="F154">
        <v>296</v>
      </c>
      <c r="G154" s="8">
        <v>10.87</v>
      </c>
      <c r="H154">
        <v>4</v>
      </c>
      <c r="I15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54" s="8">
        <f>Churn_part[[#This Row],[Facture_Mensuelle]]*Churn_part[[#This Row],[Remise Client]]</f>
        <v>4.8914999999999997</v>
      </c>
    </row>
    <row r="155" spans="1:10" x14ac:dyDescent="0.3">
      <c r="A155" t="s">
        <v>191</v>
      </c>
      <c r="B155" t="s">
        <v>50</v>
      </c>
      <c r="C155">
        <v>66</v>
      </c>
      <c r="D155" t="s">
        <v>21</v>
      </c>
      <c r="E155" t="str">
        <f>IF(Churn_part[[#This Row],[Type_Forfait]]="Pro Monde", "B2B", "B2C")</f>
        <v>B2C</v>
      </c>
      <c r="F155">
        <v>387</v>
      </c>
      <c r="G155" s="8">
        <v>82.94</v>
      </c>
      <c r="H155">
        <v>3</v>
      </c>
      <c r="I15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55" s="8">
        <f>Churn_part[[#This Row],[Facture_Mensuelle]]*Churn_part[[#This Row],[Remise Client]]</f>
        <v>37.323</v>
      </c>
    </row>
    <row r="156" spans="1:10" x14ac:dyDescent="0.3">
      <c r="A156" t="s">
        <v>192</v>
      </c>
      <c r="B156" t="s">
        <v>43</v>
      </c>
      <c r="C156">
        <v>48</v>
      </c>
      <c r="D156" t="s">
        <v>18</v>
      </c>
      <c r="E156" t="str">
        <f>IF(Churn_part[[#This Row],[Type_Forfait]]="Pro Monde", "B2B", "B2C")</f>
        <v>B2C</v>
      </c>
      <c r="F156">
        <v>335</v>
      </c>
      <c r="G156" s="8">
        <v>85.09</v>
      </c>
      <c r="H156">
        <v>3</v>
      </c>
      <c r="I15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56" s="8">
        <f>Churn_part[[#This Row],[Facture_Mensuelle]]*Churn_part[[#This Row],[Remise Client]]</f>
        <v>38.290500000000002</v>
      </c>
    </row>
    <row r="157" spans="1:10" x14ac:dyDescent="0.3">
      <c r="A157" t="s">
        <v>193</v>
      </c>
      <c r="B157" t="s">
        <v>43</v>
      </c>
      <c r="C157">
        <v>64</v>
      </c>
      <c r="D157" t="s">
        <v>13</v>
      </c>
      <c r="E157" t="str">
        <f>IF(Churn_part[[#This Row],[Type_Forfait]]="Pro Monde", "B2B", "B2C")</f>
        <v>B2B</v>
      </c>
      <c r="F157">
        <v>6</v>
      </c>
      <c r="G157" s="8">
        <v>40.58</v>
      </c>
      <c r="H157">
        <v>5</v>
      </c>
      <c r="I15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57" s="8">
        <f>Churn_part[[#This Row],[Facture_Mensuelle]]*Churn_part[[#This Row],[Remise Client]]</f>
        <v>4.0579999999999998</v>
      </c>
    </row>
    <row r="158" spans="1:10" x14ac:dyDescent="0.3">
      <c r="A158" t="s">
        <v>194</v>
      </c>
      <c r="B158" t="s">
        <v>23</v>
      </c>
      <c r="C158">
        <v>67</v>
      </c>
      <c r="D158" t="s">
        <v>10</v>
      </c>
      <c r="E158" t="str">
        <f>IF(Churn_part[[#This Row],[Type_Forfait]]="Pro Monde", "B2B", "B2C")</f>
        <v>B2C</v>
      </c>
      <c r="F158">
        <v>241</v>
      </c>
      <c r="G158" s="8">
        <v>47.72</v>
      </c>
      <c r="H158">
        <v>0</v>
      </c>
      <c r="I15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58" s="8">
        <f>Churn_part[[#This Row],[Facture_Mensuelle]]*Churn_part[[#This Row],[Remise Client]]</f>
        <v>21.474</v>
      </c>
    </row>
    <row r="159" spans="1:10" x14ac:dyDescent="0.3">
      <c r="A159" t="s">
        <v>195</v>
      </c>
      <c r="B159" t="s">
        <v>32</v>
      </c>
      <c r="C159">
        <v>60</v>
      </c>
      <c r="D159" t="s">
        <v>13</v>
      </c>
      <c r="E159" t="str">
        <f>IF(Churn_part[[#This Row],[Type_Forfait]]="Pro Monde", "B2B", "B2C")</f>
        <v>B2B</v>
      </c>
      <c r="F159">
        <v>334</v>
      </c>
      <c r="G159" s="8">
        <v>71.72</v>
      </c>
      <c r="H159">
        <v>3</v>
      </c>
      <c r="I15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59" s="8">
        <f>Churn_part[[#This Row],[Facture_Mensuelle]]*Churn_part[[#This Row],[Remise Client]]</f>
        <v>7.1720000000000006</v>
      </c>
    </row>
    <row r="160" spans="1:10" x14ac:dyDescent="0.3">
      <c r="A160" t="s">
        <v>196</v>
      </c>
      <c r="B160" t="s">
        <v>32</v>
      </c>
      <c r="C160">
        <v>23</v>
      </c>
      <c r="D160" t="s">
        <v>13</v>
      </c>
      <c r="E160" t="str">
        <f>IF(Churn_part[[#This Row],[Type_Forfait]]="Pro Monde", "B2B", "B2C")</f>
        <v>B2B</v>
      </c>
      <c r="F160">
        <v>262</v>
      </c>
      <c r="G160" s="8">
        <v>46.3</v>
      </c>
      <c r="H160">
        <v>1</v>
      </c>
      <c r="I16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60" s="8">
        <f>Churn_part[[#This Row],[Facture_Mensuelle]]*Churn_part[[#This Row],[Remise Client]]</f>
        <v>4.63</v>
      </c>
    </row>
    <row r="161" spans="1:10" x14ac:dyDescent="0.3">
      <c r="A161" t="s">
        <v>197</v>
      </c>
      <c r="B161" t="s">
        <v>59</v>
      </c>
      <c r="C161">
        <v>42</v>
      </c>
      <c r="D161" t="s">
        <v>13</v>
      </c>
      <c r="E161" t="str">
        <f>IF(Churn_part[[#This Row],[Type_Forfait]]="Pro Monde", "B2B", "B2C")</f>
        <v>B2B</v>
      </c>
      <c r="F161">
        <v>389</v>
      </c>
      <c r="G161" s="8">
        <v>80.08</v>
      </c>
      <c r="H161">
        <v>1</v>
      </c>
      <c r="I16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61" s="8">
        <f>Churn_part[[#This Row],[Facture_Mensuelle]]*Churn_part[[#This Row],[Remise Client]]</f>
        <v>8.0080000000000009</v>
      </c>
    </row>
    <row r="162" spans="1:10" x14ac:dyDescent="0.3">
      <c r="A162" t="s">
        <v>198</v>
      </c>
      <c r="B162" t="s">
        <v>129</v>
      </c>
      <c r="C162">
        <v>92</v>
      </c>
      <c r="D162" t="s">
        <v>13</v>
      </c>
      <c r="E162" t="str">
        <f>IF(Churn_part[[#This Row],[Type_Forfait]]="Pro Monde", "B2B", "B2C")</f>
        <v>B2B</v>
      </c>
      <c r="F162">
        <v>487</v>
      </c>
      <c r="G162" s="8">
        <v>58.38</v>
      </c>
      <c r="H162">
        <v>1</v>
      </c>
      <c r="I16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62" s="8">
        <f>Churn_part[[#This Row],[Facture_Mensuelle]]*Churn_part[[#This Row],[Remise Client]]</f>
        <v>5.838000000000001</v>
      </c>
    </row>
    <row r="163" spans="1:10" x14ac:dyDescent="0.3">
      <c r="A163" t="s">
        <v>199</v>
      </c>
      <c r="B163" t="s">
        <v>36</v>
      </c>
      <c r="C163">
        <v>48</v>
      </c>
      <c r="D163" t="s">
        <v>13</v>
      </c>
      <c r="E163" t="str">
        <f>IF(Churn_part[[#This Row],[Type_Forfait]]="Pro Monde", "B2B", "B2C")</f>
        <v>B2B</v>
      </c>
      <c r="F163">
        <v>76</v>
      </c>
      <c r="G163" s="8">
        <v>39.35</v>
      </c>
      <c r="H163">
        <v>2</v>
      </c>
      <c r="I16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63" s="8">
        <f>Churn_part[[#This Row],[Facture_Mensuelle]]*Churn_part[[#This Row],[Remise Client]]</f>
        <v>3.9350000000000005</v>
      </c>
    </row>
    <row r="164" spans="1:10" x14ac:dyDescent="0.3">
      <c r="A164" t="s">
        <v>200</v>
      </c>
      <c r="B164" t="s">
        <v>20</v>
      </c>
      <c r="C164">
        <v>68</v>
      </c>
      <c r="D164" t="s">
        <v>10</v>
      </c>
      <c r="E164" t="str">
        <f>IF(Churn_part[[#This Row],[Type_Forfait]]="Pro Monde", "B2B", "B2C")</f>
        <v>B2C</v>
      </c>
      <c r="F164">
        <v>443</v>
      </c>
      <c r="G164" s="8">
        <v>12.09</v>
      </c>
      <c r="H164">
        <v>3</v>
      </c>
      <c r="I16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64" s="8">
        <f>Churn_part[[#This Row],[Facture_Mensuelle]]*Churn_part[[#This Row],[Remise Client]]</f>
        <v>5.4405000000000001</v>
      </c>
    </row>
    <row r="165" spans="1:10" x14ac:dyDescent="0.3">
      <c r="A165" t="s">
        <v>201</v>
      </c>
      <c r="B165" t="s">
        <v>77</v>
      </c>
      <c r="C165">
        <v>89</v>
      </c>
      <c r="D165" t="s">
        <v>13</v>
      </c>
      <c r="E165" t="str">
        <f>IF(Churn_part[[#This Row],[Type_Forfait]]="Pro Monde", "B2B", "B2C")</f>
        <v>B2B</v>
      </c>
      <c r="F165">
        <v>203</v>
      </c>
      <c r="G165" s="8">
        <v>80.680000000000007</v>
      </c>
      <c r="H165">
        <v>5</v>
      </c>
      <c r="I16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65" s="8">
        <f>Churn_part[[#This Row],[Facture_Mensuelle]]*Churn_part[[#This Row],[Remise Client]]</f>
        <v>8.0680000000000014</v>
      </c>
    </row>
    <row r="166" spans="1:10" x14ac:dyDescent="0.3">
      <c r="A166" t="s">
        <v>202</v>
      </c>
      <c r="B166" t="s">
        <v>30</v>
      </c>
      <c r="C166">
        <v>62</v>
      </c>
      <c r="D166" t="s">
        <v>10</v>
      </c>
      <c r="E166" t="str">
        <f>IF(Churn_part[[#This Row],[Type_Forfait]]="Pro Monde", "B2B", "B2C")</f>
        <v>B2C</v>
      </c>
      <c r="F166">
        <v>116</v>
      </c>
      <c r="G166" s="8">
        <v>92.99</v>
      </c>
      <c r="H166">
        <v>5</v>
      </c>
      <c r="I16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66" s="8">
        <f>Churn_part[[#This Row],[Facture_Mensuelle]]*Churn_part[[#This Row],[Remise Client]]</f>
        <v>0</v>
      </c>
    </row>
    <row r="167" spans="1:10" x14ac:dyDescent="0.3">
      <c r="A167" t="s">
        <v>203</v>
      </c>
      <c r="B167" t="s">
        <v>9</v>
      </c>
      <c r="C167">
        <v>92</v>
      </c>
      <c r="D167" t="s">
        <v>10</v>
      </c>
      <c r="E167" t="str">
        <f>IF(Churn_part[[#This Row],[Type_Forfait]]="Pro Monde", "B2B", "B2C")</f>
        <v>B2C</v>
      </c>
      <c r="F167">
        <v>116</v>
      </c>
      <c r="G167" s="8">
        <v>23.83</v>
      </c>
      <c r="H167">
        <v>3</v>
      </c>
      <c r="I16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67" s="8">
        <f>Churn_part[[#This Row],[Facture_Mensuelle]]*Churn_part[[#This Row],[Remise Client]]</f>
        <v>0</v>
      </c>
    </row>
    <row r="168" spans="1:10" x14ac:dyDescent="0.3">
      <c r="A168" t="s">
        <v>204</v>
      </c>
      <c r="B168" t="s">
        <v>15</v>
      </c>
      <c r="C168">
        <v>64</v>
      </c>
      <c r="D168" t="s">
        <v>13</v>
      </c>
      <c r="E168" t="str">
        <f>IF(Churn_part[[#This Row],[Type_Forfait]]="Pro Monde", "B2B", "B2C")</f>
        <v>B2B</v>
      </c>
      <c r="F168">
        <v>370</v>
      </c>
      <c r="G168" s="8">
        <v>95.74</v>
      </c>
      <c r="H168">
        <v>1</v>
      </c>
      <c r="I16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68" s="8">
        <f>Churn_part[[#This Row],[Facture_Mensuelle]]*Churn_part[[#This Row],[Remise Client]]</f>
        <v>9.5739999999999998</v>
      </c>
    </row>
    <row r="169" spans="1:10" x14ac:dyDescent="0.3">
      <c r="A169" t="s">
        <v>205</v>
      </c>
      <c r="B169" t="s">
        <v>56</v>
      </c>
      <c r="C169">
        <v>61</v>
      </c>
      <c r="D169" t="s">
        <v>18</v>
      </c>
      <c r="E169" t="str">
        <f>IF(Churn_part[[#This Row],[Type_Forfait]]="Pro Monde", "B2B", "B2C")</f>
        <v>B2C</v>
      </c>
      <c r="F169">
        <v>383</v>
      </c>
      <c r="G169" s="8">
        <v>39.72</v>
      </c>
      <c r="H169">
        <v>4</v>
      </c>
      <c r="I16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69" s="8">
        <f>Churn_part[[#This Row],[Facture_Mensuelle]]*Churn_part[[#This Row],[Remise Client]]</f>
        <v>17.873999999999999</v>
      </c>
    </row>
    <row r="170" spans="1:10" x14ac:dyDescent="0.3">
      <c r="A170" t="s">
        <v>206</v>
      </c>
      <c r="B170" t="s">
        <v>61</v>
      </c>
      <c r="C170">
        <v>35</v>
      </c>
      <c r="D170" t="s">
        <v>21</v>
      </c>
      <c r="E170" t="str">
        <f>IF(Churn_part[[#This Row],[Type_Forfait]]="Pro Monde", "B2B", "B2C")</f>
        <v>B2C</v>
      </c>
      <c r="F170">
        <v>107</v>
      </c>
      <c r="G170" s="8">
        <v>66.69</v>
      </c>
      <c r="H170">
        <v>4</v>
      </c>
      <c r="I17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70" s="8">
        <f>Churn_part[[#This Row],[Facture_Mensuelle]]*Churn_part[[#This Row],[Remise Client]]</f>
        <v>0</v>
      </c>
    </row>
    <row r="171" spans="1:10" x14ac:dyDescent="0.3">
      <c r="A171" t="s">
        <v>207</v>
      </c>
      <c r="B171" t="s">
        <v>135</v>
      </c>
      <c r="C171">
        <v>75</v>
      </c>
      <c r="D171" t="s">
        <v>13</v>
      </c>
      <c r="E171" t="str">
        <f>IF(Churn_part[[#This Row],[Type_Forfait]]="Pro Monde", "B2B", "B2C")</f>
        <v>B2B</v>
      </c>
      <c r="F171">
        <v>242</v>
      </c>
      <c r="G171" s="8">
        <v>64.27</v>
      </c>
      <c r="H171">
        <v>2</v>
      </c>
      <c r="I17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171" s="8">
        <f>Churn_part[[#This Row],[Facture_Mensuelle]]*Churn_part[[#This Row],[Remise Client]]</f>
        <v>6.4269999999999996</v>
      </c>
    </row>
    <row r="172" spans="1:10" x14ac:dyDescent="0.3">
      <c r="A172" t="s">
        <v>208</v>
      </c>
      <c r="B172" t="s">
        <v>30</v>
      </c>
      <c r="C172">
        <v>52</v>
      </c>
      <c r="D172" t="s">
        <v>21</v>
      </c>
      <c r="E172" t="str">
        <f>IF(Churn_part[[#This Row],[Type_Forfait]]="Pro Monde", "B2B", "B2C")</f>
        <v>B2C</v>
      </c>
      <c r="F172">
        <v>119</v>
      </c>
      <c r="G172" s="8">
        <v>64.709999999999994</v>
      </c>
      <c r="H172">
        <v>4</v>
      </c>
      <c r="I17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72" s="8">
        <f>Churn_part[[#This Row],[Facture_Mensuelle]]*Churn_part[[#This Row],[Remise Client]]</f>
        <v>0</v>
      </c>
    </row>
    <row r="173" spans="1:10" x14ac:dyDescent="0.3">
      <c r="A173" t="s">
        <v>209</v>
      </c>
      <c r="B173" t="s">
        <v>87</v>
      </c>
      <c r="C173">
        <v>82</v>
      </c>
      <c r="D173" t="s">
        <v>10</v>
      </c>
      <c r="E173" t="str">
        <f>IF(Churn_part[[#This Row],[Type_Forfait]]="Pro Monde", "B2B", "B2C")</f>
        <v>B2C</v>
      </c>
      <c r="F173">
        <v>264</v>
      </c>
      <c r="G173" s="8">
        <v>88.03</v>
      </c>
      <c r="H173">
        <v>1</v>
      </c>
      <c r="I17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73" s="8">
        <f>Churn_part[[#This Row],[Facture_Mensuelle]]*Churn_part[[#This Row],[Remise Client]]</f>
        <v>39.613500000000002</v>
      </c>
    </row>
    <row r="174" spans="1:10" x14ac:dyDescent="0.3">
      <c r="A174" t="s">
        <v>210</v>
      </c>
      <c r="B174" t="s">
        <v>32</v>
      </c>
      <c r="C174">
        <v>118</v>
      </c>
      <c r="D174" t="s">
        <v>18</v>
      </c>
      <c r="E174" t="str">
        <f>IF(Churn_part[[#This Row],[Type_Forfait]]="Pro Monde", "B2B", "B2C")</f>
        <v>B2C</v>
      </c>
      <c r="F174">
        <v>300</v>
      </c>
      <c r="G174" s="8">
        <v>98.22</v>
      </c>
      <c r="H174">
        <v>4</v>
      </c>
      <c r="I17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74" s="8">
        <f>Churn_part[[#This Row],[Facture_Mensuelle]]*Churn_part[[#This Row],[Remise Client]]</f>
        <v>44.198999999999998</v>
      </c>
    </row>
    <row r="175" spans="1:10" x14ac:dyDescent="0.3">
      <c r="A175" t="s">
        <v>211</v>
      </c>
      <c r="B175" t="s">
        <v>59</v>
      </c>
      <c r="C175">
        <v>102</v>
      </c>
      <c r="D175" t="s">
        <v>10</v>
      </c>
      <c r="E175" t="str">
        <f>IF(Churn_part[[#This Row],[Type_Forfait]]="Pro Monde", "B2B", "B2C")</f>
        <v>B2C</v>
      </c>
      <c r="F175">
        <v>402</v>
      </c>
      <c r="G175" s="8">
        <v>28.38</v>
      </c>
      <c r="H175">
        <v>5</v>
      </c>
      <c r="I17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75" s="8">
        <f>Churn_part[[#This Row],[Facture_Mensuelle]]*Churn_part[[#This Row],[Remise Client]]</f>
        <v>12.770999999999999</v>
      </c>
    </row>
    <row r="176" spans="1:10" x14ac:dyDescent="0.3">
      <c r="A176" t="s">
        <v>212</v>
      </c>
      <c r="B176" t="s">
        <v>34</v>
      </c>
      <c r="C176">
        <v>75</v>
      </c>
      <c r="D176" t="s">
        <v>18</v>
      </c>
      <c r="E176" t="str">
        <f>IF(Churn_part[[#This Row],[Type_Forfait]]="Pro Monde", "B2B", "B2C")</f>
        <v>B2C</v>
      </c>
      <c r="F176">
        <v>282</v>
      </c>
      <c r="G176" s="8">
        <v>45.16</v>
      </c>
      <c r="H176">
        <v>5</v>
      </c>
      <c r="I17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76" s="8">
        <f>Churn_part[[#This Row],[Facture_Mensuelle]]*Churn_part[[#This Row],[Remise Client]]</f>
        <v>20.321999999999999</v>
      </c>
    </row>
    <row r="177" spans="1:10" x14ac:dyDescent="0.3">
      <c r="A177" t="s">
        <v>213</v>
      </c>
      <c r="B177" t="s">
        <v>23</v>
      </c>
      <c r="C177">
        <v>84</v>
      </c>
      <c r="D177" t="s">
        <v>10</v>
      </c>
      <c r="E177" t="str">
        <f>IF(Churn_part[[#This Row],[Type_Forfait]]="Pro Monde", "B2B", "B2C")</f>
        <v>B2C</v>
      </c>
      <c r="F177">
        <v>387</v>
      </c>
      <c r="G177" s="8">
        <v>58.1</v>
      </c>
      <c r="H177">
        <v>3</v>
      </c>
      <c r="I17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77" s="8">
        <f>Churn_part[[#This Row],[Facture_Mensuelle]]*Churn_part[[#This Row],[Remise Client]]</f>
        <v>26.145</v>
      </c>
    </row>
    <row r="178" spans="1:10" x14ac:dyDescent="0.3">
      <c r="A178" t="s">
        <v>214</v>
      </c>
      <c r="B178" t="s">
        <v>43</v>
      </c>
      <c r="C178">
        <v>5</v>
      </c>
      <c r="D178" t="s">
        <v>18</v>
      </c>
      <c r="E178" t="str">
        <f>IF(Churn_part[[#This Row],[Type_Forfait]]="Pro Monde", "B2B", "B2C")</f>
        <v>B2C</v>
      </c>
      <c r="F178">
        <v>239</v>
      </c>
      <c r="G178" s="8">
        <v>26.95</v>
      </c>
      <c r="H178">
        <v>2</v>
      </c>
      <c r="I17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78" s="8">
        <f>Churn_part[[#This Row],[Facture_Mensuelle]]*Churn_part[[#This Row],[Remise Client]]</f>
        <v>0</v>
      </c>
    </row>
    <row r="179" spans="1:10" x14ac:dyDescent="0.3">
      <c r="A179" t="s">
        <v>215</v>
      </c>
      <c r="B179" t="s">
        <v>77</v>
      </c>
      <c r="C179">
        <v>27</v>
      </c>
      <c r="D179" t="s">
        <v>10</v>
      </c>
      <c r="E179" t="str">
        <f>IF(Churn_part[[#This Row],[Type_Forfait]]="Pro Monde", "B2B", "B2C")</f>
        <v>B2C</v>
      </c>
      <c r="F179">
        <v>369</v>
      </c>
      <c r="G179" s="8">
        <v>19.78</v>
      </c>
      <c r="H179">
        <v>1</v>
      </c>
      <c r="I17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79" s="8">
        <f>Churn_part[[#This Row],[Facture_Mensuelle]]*Churn_part[[#This Row],[Remise Client]]</f>
        <v>8.9010000000000016</v>
      </c>
    </row>
    <row r="180" spans="1:10" x14ac:dyDescent="0.3">
      <c r="A180" t="s">
        <v>216</v>
      </c>
      <c r="B180" t="s">
        <v>56</v>
      </c>
      <c r="C180">
        <v>29</v>
      </c>
      <c r="D180" t="s">
        <v>21</v>
      </c>
      <c r="E180" t="str">
        <f>IF(Churn_part[[#This Row],[Type_Forfait]]="Pro Monde", "B2B", "B2C")</f>
        <v>B2C</v>
      </c>
      <c r="F180">
        <v>416</v>
      </c>
      <c r="G180" s="8">
        <v>61.26</v>
      </c>
      <c r="H180">
        <v>0</v>
      </c>
      <c r="I18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80" s="8">
        <f>Churn_part[[#This Row],[Facture_Mensuelle]]*Churn_part[[#This Row],[Remise Client]]</f>
        <v>27.567</v>
      </c>
    </row>
    <row r="181" spans="1:10" x14ac:dyDescent="0.3">
      <c r="A181" t="s">
        <v>217</v>
      </c>
      <c r="B181" t="s">
        <v>61</v>
      </c>
      <c r="C181">
        <v>115</v>
      </c>
      <c r="D181" t="s">
        <v>18</v>
      </c>
      <c r="E181" t="str">
        <f>IF(Churn_part[[#This Row],[Type_Forfait]]="Pro Monde", "B2B", "B2C")</f>
        <v>B2C</v>
      </c>
      <c r="F181">
        <v>236</v>
      </c>
      <c r="G181" s="8">
        <v>50.64</v>
      </c>
      <c r="H181">
        <v>1</v>
      </c>
      <c r="I18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81" s="8">
        <f>Churn_part[[#This Row],[Facture_Mensuelle]]*Churn_part[[#This Row],[Remise Client]]</f>
        <v>0</v>
      </c>
    </row>
    <row r="182" spans="1:10" x14ac:dyDescent="0.3">
      <c r="A182" t="s">
        <v>218</v>
      </c>
      <c r="B182" t="s">
        <v>15</v>
      </c>
      <c r="C182">
        <v>26</v>
      </c>
      <c r="D182" t="s">
        <v>18</v>
      </c>
      <c r="E182" t="str">
        <f>IF(Churn_part[[#This Row],[Type_Forfait]]="Pro Monde", "B2B", "B2C")</f>
        <v>B2C</v>
      </c>
      <c r="F182">
        <v>174</v>
      </c>
      <c r="G182" s="8">
        <v>90.53</v>
      </c>
      <c r="H182">
        <v>3</v>
      </c>
      <c r="I18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82" s="8">
        <f>Churn_part[[#This Row],[Facture_Mensuelle]]*Churn_part[[#This Row],[Remise Client]]</f>
        <v>0</v>
      </c>
    </row>
    <row r="183" spans="1:10" x14ac:dyDescent="0.3">
      <c r="A183" t="s">
        <v>219</v>
      </c>
      <c r="B183" t="s">
        <v>23</v>
      </c>
      <c r="C183">
        <v>58</v>
      </c>
      <c r="D183" t="s">
        <v>18</v>
      </c>
      <c r="E183" t="str">
        <f>IF(Churn_part[[#This Row],[Type_Forfait]]="Pro Monde", "B2B", "B2C")</f>
        <v>B2C</v>
      </c>
      <c r="F183">
        <v>405</v>
      </c>
      <c r="G183" s="8">
        <v>18.39</v>
      </c>
      <c r="H183">
        <v>0</v>
      </c>
      <c r="I18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83" s="8">
        <f>Churn_part[[#This Row],[Facture_Mensuelle]]*Churn_part[[#This Row],[Remise Client]]</f>
        <v>8.275500000000001</v>
      </c>
    </row>
    <row r="184" spans="1:10" x14ac:dyDescent="0.3">
      <c r="A184" t="s">
        <v>220</v>
      </c>
      <c r="B184" t="s">
        <v>66</v>
      </c>
      <c r="C184">
        <v>111</v>
      </c>
      <c r="D184" t="s">
        <v>10</v>
      </c>
      <c r="E184" t="str">
        <f>IF(Churn_part[[#This Row],[Type_Forfait]]="Pro Monde", "B2B", "B2C")</f>
        <v>B2C</v>
      </c>
      <c r="F184">
        <v>43</v>
      </c>
      <c r="G184" s="8">
        <v>19.39</v>
      </c>
      <c r="H184">
        <v>3</v>
      </c>
      <c r="I18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84" s="8">
        <f>Churn_part[[#This Row],[Facture_Mensuelle]]*Churn_part[[#This Row],[Remise Client]]</f>
        <v>0</v>
      </c>
    </row>
    <row r="185" spans="1:10" x14ac:dyDescent="0.3">
      <c r="A185" t="s">
        <v>221</v>
      </c>
      <c r="B185" t="s">
        <v>43</v>
      </c>
      <c r="C185">
        <v>31</v>
      </c>
      <c r="D185" t="s">
        <v>18</v>
      </c>
      <c r="E185" t="str">
        <f>IF(Churn_part[[#This Row],[Type_Forfait]]="Pro Monde", "B2B", "B2C")</f>
        <v>B2C</v>
      </c>
      <c r="F185">
        <v>160</v>
      </c>
      <c r="G185" s="8">
        <v>59.76</v>
      </c>
      <c r="H185">
        <v>4</v>
      </c>
      <c r="I18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85" s="8">
        <f>Churn_part[[#This Row],[Facture_Mensuelle]]*Churn_part[[#This Row],[Remise Client]]</f>
        <v>0</v>
      </c>
    </row>
    <row r="186" spans="1:10" x14ac:dyDescent="0.3">
      <c r="A186" t="s">
        <v>222</v>
      </c>
      <c r="B186" t="s">
        <v>72</v>
      </c>
      <c r="C186">
        <v>51</v>
      </c>
      <c r="D186" t="s">
        <v>21</v>
      </c>
      <c r="E186" t="str">
        <f>IF(Churn_part[[#This Row],[Type_Forfait]]="Pro Monde", "B2B", "B2C")</f>
        <v>B2C</v>
      </c>
      <c r="F186">
        <v>433</v>
      </c>
      <c r="G186" s="8">
        <v>12.89</v>
      </c>
      <c r="H186">
        <v>1</v>
      </c>
      <c r="I18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86" s="8">
        <f>Churn_part[[#This Row],[Facture_Mensuelle]]*Churn_part[[#This Row],[Remise Client]]</f>
        <v>5.8005000000000004</v>
      </c>
    </row>
    <row r="187" spans="1:10" x14ac:dyDescent="0.3">
      <c r="A187" t="s">
        <v>223</v>
      </c>
      <c r="B187" t="s">
        <v>87</v>
      </c>
      <c r="C187">
        <v>28</v>
      </c>
      <c r="D187" t="s">
        <v>10</v>
      </c>
      <c r="E187" t="str">
        <f>IF(Churn_part[[#This Row],[Type_Forfait]]="Pro Monde", "B2B", "B2C")</f>
        <v>B2C</v>
      </c>
      <c r="F187">
        <v>96</v>
      </c>
      <c r="G187" s="8">
        <v>72.010000000000005</v>
      </c>
      <c r="H187">
        <v>4</v>
      </c>
      <c r="I18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87" s="8">
        <f>Churn_part[[#This Row],[Facture_Mensuelle]]*Churn_part[[#This Row],[Remise Client]]</f>
        <v>0</v>
      </c>
    </row>
    <row r="188" spans="1:10" x14ac:dyDescent="0.3">
      <c r="A188" t="s">
        <v>224</v>
      </c>
      <c r="B188" t="s">
        <v>25</v>
      </c>
      <c r="C188">
        <v>40</v>
      </c>
      <c r="D188" t="s">
        <v>21</v>
      </c>
      <c r="E188" t="str">
        <f>IF(Churn_part[[#This Row],[Type_Forfait]]="Pro Monde", "B2B", "B2C")</f>
        <v>B2C</v>
      </c>
      <c r="F188">
        <v>219</v>
      </c>
      <c r="G188" s="8">
        <v>53.98</v>
      </c>
      <c r="H188">
        <v>2</v>
      </c>
      <c r="I18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88" s="8">
        <f>Churn_part[[#This Row],[Facture_Mensuelle]]*Churn_part[[#This Row],[Remise Client]]</f>
        <v>0</v>
      </c>
    </row>
    <row r="189" spans="1:10" x14ac:dyDescent="0.3">
      <c r="A189" t="s">
        <v>225</v>
      </c>
      <c r="B189" t="s">
        <v>32</v>
      </c>
      <c r="C189">
        <v>55</v>
      </c>
      <c r="D189" t="s">
        <v>10</v>
      </c>
      <c r="E189" t="str">
        <f>IF(Churn_part[[#This Row],[Type_Forfait]]="Pro Monde", "B2B", "B2C")</f>
        <v>B2C</v>
      </c>
      <c r="F189">
        <v>394</v>
      </c>
      <c r="G189" s="8">
        <v>26.8</v>
      </c>
      <c r="H189">
        <v>4</v>
      </c>
      <c r="I18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89" s="8">
        <f>Churn_part[[#This Row],[Facture_Mensuelle]]*Churn_part[[#This Row],[Remise Client]]</f>
        <v>12.06</v>
      </c>
    </row>
    <row r="190" spans="1:10" x14ac:dyDescent="0.3">
      <c r="A190" t="s">
        <v>226</v>
      </c>
      <c r="B190" t="s">
        <v>17</v>
      </c>
      <c r="C190">
        <v>114</v>
      </c>
      <c r="D190" t="s">
        <v>10</v>
      </c>
      <c r="E190" t="str">
        <f>IF(Churn_part[[#This Row],[Type_Forfait]]="Pro Monde", "B2B", "B2C")</f>
        <v>B2C</v>
      </c>
      <c r="F190">
        <v>482</v>
      </c>
      <c r="G190" s="8">
        <v>16.25</v>
      </c>
      <c r="H190">
        <v>3</v>
      </c>
      <c r="I19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90" s="8">
        <f>Churn_part[[#This Row],[Facture_Mensuelle]]*Churn_part[[#This Row],[Remise Client]]</f>
        <v>7.3125</v>
      </c>
    </row>
    <row r="191" spans="1:10" x14ac:dyDescent="0.3">
      <c r="A191" t="s">
        <v>227</v>
      </c>
      <c r="B191" t="s">
        <v>39</v>
      </c>
      <c r="C191">
        <v>49</v>
      </c>
      <c r="D191" t="s">
        <v>10</v>
      </c>
      <c r="E191" t="str">
        <f>IF(Churn_part[[#This Row],[Type_Forfait]]="Pro Monde", "B2B", "B2C")</f>
        <v>B2C</v>
      </c>
      <c r="F191">
        <v>357</v>
      </c>
      <c r="G191" s="8">
        <v>96.67</v>
      </c>
      <c r="H191">
        <v>3</v>
      </c>
      <c r="I19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91" s="8">
        <f>Churn_part[[#This Row],[Facture_Mensuelle]]*Churn_part[[#This Row],[Remise Client]]</f>
        <v>43.5015</v>
      </c>
    </row>
    <row r="192" spans="1:10" x14ac:dyDescent="0.3">
      <c r="A192" t="s">
        <v>228</v>
      </c>
      <c r="B192" t="s">
        <v>23</v>
      </c>
      <c r="C192">
        <v>74</v>
      </c>
      <c r="D192" t="s">
        <v>10</v>
      </c>
      <c r="E192" t="str">
        <f>IF(Churn_part[[#This Row],[Type_Forfait]]="Pro Monde", "B2B", "B2C")</f>
        <v>B2C</v>
      </c>
      <c r="F192">
        <v>213</v>
      </c>
      <c r="G192" s="8">
        <v>35.54</v>
      </c>
      <c r="H192">
        <v>3</v>
      </c>
      <c r="I19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92" s="8">
        <f>Churn_part[[#This Row],[Facture_Mensuelle]]*Churn_part[[#This Row],[Remise Client]]</f>
        <v>0</v>
      </c>
    </row>
    <row r="193" spans="1:10" x14ac:dyDescent="0.3">
      <c r="A193" t="s">
        <v>229</v>
      </c>
      <c r="B193" t="s">
        <v>25</v>
      </c>
      <c r="C193">
        <v>21</v>
      </c>
      <c r="D193" t="s">
        <v>21</v>
      </c>
      <c r="E193" t="str">
        <f>IF(Churn_part[[#This Row],[Type_Forfait]]="Pro Monde", "B2B", "B2C")</f>
        <v>B2C</v>
      </c>
      <c r="F193">
        <v>107</v>
      </c>
      <c r="G193" s="8">
        <v>30.97</v>
      </c>
      <c r="H193">
        <v>4</v>
      </c>
      <c r="I19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93" s="8">
        <f>Churn_part[[#This Row],[Facture_Mensuelle]]*Churn_part[[#This Row],[Remise Client]]</f>
        <v>0</v>
      </c>
    </row>
    <row r="194" spans="1:10" x14ac:dyDescent="0.3">
      <c r="A194" t="s">
        <v>230</v>
      </c>
      <c r="B194" t="s">
        <v>23</v>
      </c>
      <c r="C194">
        <v>120</v>
      </c>
      <c r="D194" t="s">
        <v>21</v>
      </c>
      <c r="E194" t="str">
        <f>IF(Churn_part[[#This Row],[Type_Forfait]]="Pro Monde", "B2B", "B2C")</f>
        <v>B2C</v>
      </c>
      <c r="F194">
        <v>224</v>
      </c>
      <c r="G194" s="8">
        <v>69.36</v>
      </c>
      <c r="H194">
        <v>0</v>
      </c>
      <c r="I19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94" s="8">
        <f>Churn_part[[#This Row],[Facture_Mensuelle]]*Churn_part[[#This Row],[Remise Client]]</f>
        <v>0</v>
      </c>
    </row>
    <row r="195" spans="1:10" x14ac:dyDescent="0.3">
      <c r="A195" t="s">
        <v>231</v>
      </c>
      <c r="B195" t="s">
        <v>12</v>
      </c>
      <c r="C195">
        <v>108</v>
      </c>
      <c r="D195" t="s">
        <v>10</v>
      </c>
      <c r="E195" t="str">
        <f>IF(Churn_part[[#This Row],[Type_Forfait]]="Pro Monde", "B2B", "B2C")</f>
        <v>B2C</v>
      </c>
      <c r="F195">
        <v>230</v>
      </c>
      <c r="G195" s="8">
        <v>16.3</v>
      </c>
      <c r="H195">
        <v>5</v>
      </c>
      <c r="I19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95" s="8">
        <f>Churn_part[[#This Row],[Facture_Mensuelle]]*Churn_part[[#This Row],[Remise Client]]</f>
        <v>0</v>
      </c>
    </row>
    <row r="196" spans="1:10" x14ac:dyDescent="0.3">
      <c r="A196" t="s">
        <v>232</v>
      </c>
      <c r="B196" t="s">
        <v>30</v>
      </c>
      <c r="C196">
        <v>48</v>
      </c>
      <c r="D196" t="s">
        <v>18</v>
      </c>
      <c r="E196" t="str">
        <f>IF(Churn_part[[#This Row],[Type_Forfait]]="Pro Monde", "B2B", "B2C")</f>
        <v>B2C</v>
      </c>
      <c r="F196">
        <v>436</v>
      </c>
      <c r="G196" s="8">
        <v>15.17</v>
      </c>
      <c r="H196">
        <v>0</v>
      </c>
      <c r="I19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96" s="8">
        <f>Churn_part[[#This Row],[Facture_Mensuelle]]*Churn_part[[#This Row],[Remise Client]]</f>
        <v>6.8265000000000002</v>
      </c>
    </row>
    <row r="197" spans="1:10" x14ac:dyDescent="0.3">
      <c r="A197" t="s">
        <v>233</v>
      </c>
      <c r="B197" t="s">
        <v>39</v>
      </c>
      <c r="C197">
        <v>33</v>
      </c>
      <c r="D197" t="s">
        <v>10</v>
      </c>
      <c r="E197" t="str">
        <f>IF(Churn_part[[#This Row],[Type_Forfait]]="Pro Monde", "B2B", "B2C")</f>
        <v>B2C</v>
      </c>
      <c r="F197">
        <v>285</v>
      </c>
      <c r="G197" s="8">
        <v>56.67</v>
      </c>
      <c r="H197">
        <v>2</v>
      </c>
      <c r="I19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197" s="8">
        <f>Churn_part[[#This Row],[Facture_Mensuelle]]*Churn_part[[#This Row],[Remise Client]]</f>
        <v>25.5015</v>
      </c>
    </row>
    <row r="198" spans="1:10" x14ac:dyDescent="0.3">
      <c r="A198" t="s">
        <v>234</v>
      </c>
      <c r="B198" t="s">
        <v>28</v>
      </c>
      <c r="C198">
        <v>71</v>
      </c>
      <c r="D198" t="s">
        <v>10</v>
      </c>
      <c r="E198" t="str">
        <f>IF(Churn_part[[#This Row],[Type_Forfait]]="Pro Monde", "B2B", "B2C")</f>
        <v>B2C</v>
      </c>
      <c r="F198">
        <v>15</v>
      </c>
      <c r="G198" s="8">
        <v>25.46</v>
      </c>
      <c r="H198">
        <v>5</v>
      </c>
      <c r="I19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98" s="8">
        <f>Churn_part[[#This Row],[Facture_Mensuelle]]*Churn_part[[#This Row],[Remise Client]]</f>
        <v>0</v>
      </c>
    </row>
    <row r="199" spans="1:10" x14ac:dyDescent="0.3">
      <c r="A199" t="s">
        <v>235</v>
      </c>
      <c r="B199" t="s">
        <v>72</v>
      </c>
      <c r="C199">
        <v>11</v>
      </c>
      <c r="D199" t="s">
        <v>10</v>
      </c>
      <c r="E199" t="str">
        <f>IF(Churn_part[[#This Row],[Type_Forfait]]="Pro Monde", "B2B", "B2C")</f>
        <v>B2C</v>
      </c>
      <c r="F199">
        <v>191</v>
      </c>
      <c r="G199" s="8">
        <v>87.37</v>
      </c>
      <c r="H199">
        <v>3</v>
      </c>
      <c r="I19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199" s="8">
        <f>Churn_part[[#This Row],[Facture_Mensuelle]]*Churn_part[[#This Row],[Remise Client]]</f>
        <v>0</v>
      </c>
    </row>
    <row r="200" spans="1:10" x14ac:dyDescent="0.3">
      <c r="A200" t="s">
        <v>236</v>
      </c>
      <c r="B200" t="s">
        <v>129</v>
      </c>
      <c r="C200">
        <v>18</v>
      </c>
      <c r="D200" t="s">
        <v>13</v>
      </c>
      <c r="E200" t="str">
        <f>IF(Churn_part[[#This Row],[Type_Forfait]]="Pro Monde", "B2B", "B2C")</f>
        <v>B2B</v>
      </c>
      <c r="F200">
        <v>71</v>
      </c>
      <c r="G200" s="8">
        <v>46.98</v>
      </c>
      <c r="H200">
        <v>2</v>
      </c>
      <c r="I20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00" s="8">
        <f>Churn_part[[#This Row],[Facture_Mensuelle]]*Churn_part[[#This Row],[Remise Client]]</f>
        <v>4.6979999999999995</v>
      </c>
    </row>
    <row r="201" spans="1:10" x14ac:dyDescent="0.3">
      <c r="A201" t="s">
        <v>237</v>
      </c>
      <c r="B201" t="s">
        <v>34</v>
      </c>
      <c r="C201">
        <v>27</v>
      </c>
      <c r="D201" t="s">
        <v>10</v>
      </c>
      <c r="E201" t="str">
        <f>IF(Churn_part[[#This Row],[Type_Forfait]]="Pro Monde", "B2B", "B2C")</f>
        <v>B2C</v>
      </c>
      <c r="F201">
        <v>61</v>
      </c>
      <c r="G201" s="8">
        <v>97.51</v>
      </c>
      <c r="H201">
        <v>5</v>
      </c>
      <c r="I20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01" s="8">
        <f>Churn_part[[#This Row],[Facture_Mensuelle]]*Churn_part[[#This Row],[Remise Client]]</f>
        <v>0</v>
      </c>
    </row>
    <row r="202" spans="1:10" x14ac:dyDescent="0.3">
      <c r="A202" t="s">
        <v>238</v>
      </c>
      <c r="B202" t="s">
        <v>129</v>
      </c>
      <c r="C202">
        <v>65</v>
      </c>
      <c r="D202" t="s">
        <v>18</v>
      </c>
      <c r="E202" t="str">
        <f>IF(Churn_part[[#This Row],[Type_Forfait]]="Pro Monde", "B2B", "B2C")</f>
        <v>B2C</v>
      </c>
      <c r="F202">
        <v>118</v>
      </c>
      <c r="G202" s="8">
        <v>72.430000000000007</v>
      </c>
      <c r="H202">
        <v>1</v>
      </c>
      <c r="I20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02" s="8">
        <f>Churn_part[[#This Row],[Facture_Mensuelle]]*Churn_part[[#This Row],[Remise Client]]</f>
        <v>0</v>
      </c>
    </row>
    <row r="203" spans="1:10" x14ac:dyDescent="0.3">
      <c r="A203" t="s">
        <v>239</v>
      </c>
      <c r="B203" t="s">
        <v>30</v>
      </c>
      <c r="C203">
        <v>6</v>
      </c>
      <c r="D203" t="s">
        <v>13</v>
      </c>
      <c r="E203" t="str">
        <f>IF(Churn_part[[#This Row],[Type_Forfait]]="Pro Monde", "B2B", "B2C")</f>
        <v>B2B</v>
      </c>
      <c r="F203">
        <v>109</v>
      </c>
      <c r="G203" s="8">
        <v>39.880000000000003</v>
      </c>
      <c r="H203">
        <v>4</v>
      </c>
      <c r="I20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03" s="8">
        <f>Churn_part[[#This Row],[Facture_Mensuelle]]*Churn_part[[#This Row],[Remise Client]]</f>
        <v>3.9880000000000004</v>
      </c>
    </row>
    <row r="204" spans="1:10" x14ac:dyDescent="0.3">
      <c r="A204" t="s">
        <v>240</v>
      </c>
      <c r="B204" t="s">
        <v>23</v>
      </c>
      <c r="C204">
        <v>60</v>
      </c>
      <c r="D204" t="s">
        <v>21</v>
      </c>
      <c r="E204" t="str">
        <f>IF(Churn_part[[#This Row],[Type_Forfait]]="Pro Monde", "B2B", "B2C")</f>
        <v>B2C</v>
      </c>
      <c r="F204">
        <v>54</v>
      </c>
      <c r="G204" s="8">
        <v>67.180000000000007</v>
      </c>
      <c r="H204">
        <v>3</v>
      </c>
      <c r="I20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04" s="8">
        <f>Churn_part[[#This Row],[Facture_Mensuelle]]*Churn_part[[#This Row],[Remise Client]]</f>
        <v>0</v>
      </c>
    </row>
    <row r="205" spans="1:10" x14ac:dyDescent="0.3">
      <c r="A205" t="s">
        <v>241</v>
      </c>
      <c r="B205" t="s">
        <v>28</v>
      </c>
      <c r="C205">
        <v>4</v>
      </c>
      <c r="D205" t="s">
        <v>18</v>
      </c>
      <c r="E205" t="str">
        <f>IF(Churn_part[[#This Row],[Type_Forfait]]="Pro Monde", "B2B", "B2C")</f>
        <v>B2C</v>
      </c>
      <c r="F205">
        <v>182</v>
      </c>
      <c r="G205" s="8">
        <v>89.56</v>
      </c>
      <c r="H205">
        <v>4</v>
      </c>
      <c r="I20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05" s="8">
        <f>Churn_part[[#This Row],[Facture_Mensuelle]]*Churn_part[[#This Row],[Remise Client]]</f>
        <v>0</v>
      </c>
    </row>
    <row r="206" spans="1:10" x14ac:dyDescent="0.3">
      <c r="A206" t="s">
        <v>242</v>
      </c>
      <c r="B206" t="s">
        <v>9</v>
      </c>
      <c r="C206">
        <v>10</v>
      </c>
      <c r="D206" t="s">
        <v>18</v>
      </c>
      <c r="E206" t="str">
        <f>IF(Churn_part[[#This Row],[Type_Forfait]]="Pro Monde", "B2B", "B2C")</f>
        <v>B2C</v>
      </c>
      <c r="F206">
        <v>165</v>
      </c>
      <c r="G206" s="8">
        <v>38.619999999999997</v>
      </c>
      <c r="H206">
        <v>2</v>
      </c>
      <c r="I20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06" s="8">
        <f>Churn_part[[#This Row],[Facture_Mensuelle]]*Churn_part[[#This Row],[Remise Client]]</f>
        <v>0</v>
      </c>
    </row>
    <row r="207" spans="1:10" x14ac:dyDescent="0.3">
      <c r="A207" t="s">
        <v>243</v>
      </c>
      <c r="B207" t="s">
        <v>56</v>
      </c>
      <c r="C207">
        <v>82</v>
      </c>
      <c r="D207" t="s">
        <v>10</v>
      </c>
      <c r="E207" t="str">
        <f>IF(Churn_part[[#This Row],[Type_Forfait]]="Pro Monde", "B2B", "B2C")</f>
        <v>B2C</v>
      </c>
      <c r="F207">
        <v>88</v>
      </c>
      <c r="G207" s="8">
        <v>86.64</v>
      </c>
      <c r="H207">
        <v>1</v>
      </c>
      <c r="I20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07" s="8">
        <f>Churn_part[[#This Row],[Facture_Mensuelle]]*Churn_part[[#This Row],[Remise Client]]</f>
        <v>0</v>
      </c>
    </row>
    <row r="208" spans="1:10" x14ac:dyDescent="0.3">
      <c r="A208" t="s">
        <v>244</v>
      </c>
      <c r="B208" t="s">
        <v>28</v>
      </c>
      <c r="C208">
        <v>89</v>
      </c>
      <c r="D208" t="s">
        <v>21</v>
      </c>
      <c r="E208" t="str">
        <f>IF(Churn_part[[#This Row],[Type_Forfait]]="Pro Monde", "B2B", "B2C")</f>
        <v>B2C</v>
      </c>
      <c r="F208">
        <v>7</v>
      </c>
      <c r="G208" s="8">
        <v>53.39</v>
      </c>
      <c r="H208">
        <v>3</v>
      </c>
      <c r="I20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08" s="8">
        <f>Churn_part[[#This Row],[Facture_Mensuelle]]*Churn_part[[#This Row],[Remise Client]]</f>
        <v>0</v>
      </c>
    </row>
    <row r="209" spans="1:10" x14ac:dyDescent="0.3">
      <c r="A209" t="s">
        <v>245</v>
      </c>
      <c r="B209" t="s">
        <v>30</v>
      </c>
      <c r="C209">
        <v>87</v>
      </c>
      <c r="D209" t="s">
        <v>13</v>
      </c>
      <c r="E209" t="str">
        <f>IF(Churn_part[[#This Row],[Type_Forfait]]="Pro Monde", "B2B", "B2C")</f>
        <v>B2B</v>
      </c>
      <c r="F209">
        <v>205</v>
      </c>
      <c r="G209" s="8">
        <v>40.159999999999997</v>
      </c>
      <c r="H209">
        <v>5</v>
      </c>
      <c r="I20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09" s="8">
        <f>Churn_part[[#This Row],[Facture_Mensuelle]]*Churn_part[[#This Row],[Remise Client]]</f>
        <v>4.016</v>
      </c>
    </row>
    <row r="210" spans="1:10" x14ac:dyDescent="0.3">
      <c r="A210" t="s">
        <v>246</v>
      </c>
      <c r="B210" t="s">
        <v>17</v>
      </c>
      <c r="C210">
        <v>96</v>
      </c>
      <c r="D210" t="s">
        <v>10</v>
      </c>
      <c r="E210" t="str">
        <f>IF(Churn_part[[#This Row],[Type_Forfait]]="Pro Monde", "B2B", "B2C")</f>
        <v>B2C</v>
      </c>
      <c r="F210">
        <v>334</v>
      </c>
      <c r="G210" s="8">
        <v>64.77</v>
      </c>
      <c r="H210">
        <v>0</v>
      </c>
      <c r="I21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10" s="8">
        <f>Churn_part[[#This Row],[Facture_Mensuelle]]*Churn_part[[#This Row],[Remise Client]]</f>
        <v>29.1465</v>
      </c>
    </row>
    <row r="211" spans="1:10" x14ac:dyDescent="0.3">
      <c r="A211" t="s">
        <v>247</v>
      </c>
      <c r="B211" t="s">
        <v>9</v>
      </c>
      <c r="C211">
        <v>60</v>
      </c>
      <c r="D211" t="s">
        <v>21</v>
      </c>
      <c r="E211" t="str">
        <f>IF(Churn_part[[#This Row],[Type_Forfait]]="Pro Monde", "B2B", "B2C")</f>
        <v>B2C</v>
      </c>
      <c r="F211">
        <v>161</v>
      </c>
      <c r="G211" s="8">
        <v>62.65</v>
      </c>
      <c r="H211">
        <v>0</v>
      </c>
      <c r="I21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11" s="8">
        <f>Churn_part[[#This Row],[Facture_Mensuelle]]*Churn_part[[#This Row],[Remise Client]]</f>
        <v>0</v>
      </c>
    </row>
    <row r="212" spans="1:10" x14ac:dyDescent="0.3">
      <c r="A212" t="s">
        <v>248</v>
      </c>
      <c r="B212" t="s">
        <v>125</v>
      </c>
      <c r="C212">
        <v>49</v>
      </c>
      <c r="D212" t="s">
        <v>21</v>
      </c>
      <c r="E212" t="str">
        <f>IF(Churn_part[[#This Row],[Type_Forfait]]="Pro Monde", "B2B", "B2C")</f>
        <v>B2C</v>
      </c>
      <c r="F212">
        <v>6</v>
      </c>
      <c r="G212" s="8">
        <v>44.41</v>
      </c>
      <c r="H212">
        <v>3</v>
      </c>
      <c r="I21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12" s="8">
        <f>Churn_part[[#This Row],[Facture_Mensuelle]]*Churn_part[[#This Row],[Remise Client]]</f>
        <v>0</v>
      </c>
    </row>
    <row r="213" spans="1:10" x14ac:dyDescent="0.3">
      <c r="A213" t="s">
        <v>249</v>
      </c>
      <c r="B213" t="s">
        <v>129</v>
      </c>
      <c r="C213">
        <v>44</v>
      </c>
      <c r="D213" t="s">
        <v>18</v>
      </c>
      <c r="E213" t="str">
        <f>IF(Churn_part[[#This Row],[Type_Forfait]]="Pro Monde", "B2B", "B2C")</f>
        <v>B2C</v>
      </c>
      <c r="F213">
        <v>199</v>
      </c>
      <c r="G213" s="8">
        <v>67.650000000000006</v>
      </c>
      <c r="H213">
        <v>0</v>
      </c>
      <c r="I21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13" s="8">
        <f>Churn_part[[#This Row],[Facture_Mensuelle]]*Churn_part[[#This Row],[Remise Client]]</f>
        <v>0</v>
      </c>
    </row>
    <row r="214" spans="1:10" x14ac:dyDescent="0.3">
      <c r="A214" t="s">
        <v>250</v>
      </c>
      <c r="B214" t="s">
        <v>12</v>
      </c>
      <c r="C214">
        <v>96</v>
      </c>
      <c r="D214" t="s">
        <v>21</v>
      </c>
      <c r="E214" t="str">
        <f>IF(Churn_part[[#This Row],[Type_Forfait]]="Pro Monde", "B2B", "B2C")</f>
        <v>B2C</v>
      </c>
      <c r="F214">
        <v>108</v>
      </c>
      <c r="G214" s="8">
        <v>30.92</v>
      </c>
      <c r="H214">
        <v>1</v>
      </c>
      <c r="I21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14" s="8">
        <f>Churn_part[[#This Row],[Facture_Mensuelle]]*Churn_part[[#This Row],[Remise Client]]</f>
        <v>0</v>
      </c>
    </row>
    <row r="215" spans="1:10" x14ac:dyDescent="0.3">
      <c r="A215" t="s">
        <v>251</v>
      </c>
      <c r="B215" t="s">
        <v>28</v>
      </c>
      <c r="C215">
        <v>52</v>
      </c>
      <c r="D215" t="s">
        <v>13</v>
      </c>
      <c r="E215" t="str">
        <f>IF(Churn_part[[#This Row],[Type_Forfait]]="Pro Monde", "B2B", "B2C")</f>
        <v>B2B</v>
      </c>
      <c r="F215">
        <v>234</v>
      </c>
      <c r="G215" s="8">
        <v>62.87</v>
      </c>
      <c r="H215">
        <v>0</v>
      </c>
      <c r="I21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15" s="8">
        <f>Churn_part[[#This Row],[Facture_Mensuelle]]*Churn_part[[#This Row],[Remise Client]]</f>
        <v>6.2869999999999999</v>
      </c>
    </row>
    <row r="216" spans="1:10" x14ac:dyDescent="0.3">
      <c r="A216" t="s">
        <v>252</v>
      </c>
      <c r="B216" t="s">
        <v>36</v>
      </c>
      <c r="C216">
        <v>110</v>
      </c>
      <c r="D216" t="s">
        <v>18</v>
      </c>
      <c r="E216" t="str">
        <f>IF(Churn_part[[#This Row],[Type_Forfait]]="Pro Monde", "B2B", "B2C")</f>
        <v>B2C</v>
      </c>
      <c r="F216">
        <v>112</v>
      </c>
      <c r="G216" s="8">
        <v>98.95</v>
      </c>
      <c r="H216">
        <v>5</v>
      </c>
      <c r="I21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16" s="8">
        <f>Churn_part[[#This Row],[Facture_Mensuelle]]*Churn_part[[#This Row],[Remise Client]]</f>
        <v>0</v>
      </c>
    </row>
    <row r="217" spans="1:10" x14ac:dyDescent="0.3">
      <c r="A217" t="s">
        <v>253</v>
      </c>
      <c r="B217" t="s">
        <v>87</v>
      </c>
      <c r="C217">
        <v>25</v>
      </c>
      <c r="D217" t="s">
        <v>18</v>
      </c>
      <c r="E217" t="str">
        <f>IF(Churn_part[[#This Row],[Type_Forfait]]="Pro Monde", "B2B", "B2C")</f>
        <v>B2C</v>
      </c>
      <c r="F217">
        <v>33</v>
      </c>
      <c r="G217" s="8">
        <v>30.93</v>
      </c>
      <c r="H217">
        <v>1</v>
      </c>
      <c r="I21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17" s="8">
        <f>Churn_part[[#This Row],[Facture_Mensuelle]]*Churn_part[[#This Row],[Remise Client]]</f>
        <v>0</v>
      </c>
    </row>
    <row r="218" spans="1:10" x14ac:dyDescent="0.3">
      <c r="A218" t="s">
        <v>254</v>
      </c>
      <c r="B218" t="s">
        <v>50</v>
      </c>
      <c r="C218">
        <v>51</v>
      </c>
      <c r="D218" t="s">
        <v>13</v>
      </c>
      <c r="E218" t="str">
        <f>IF(Churn_part[[#This Row],[Type_Forfait]]="Pro Monde", "B2B", "B2C")</f>
        <v>B2B</v>
      </c>
      <c r="F218">
        <v>336</v>
      </c>
      <c r="G218" s="8">
        <v>65.47</v>
      </c>
      <c r="H218">
        <v>1</v>
      </c>
      <c r="I21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18" s="8">
        <f>Churn_part[[#This Row],[Facture_Mensuelle]]*Churn_part[[#This Row],[Remise Client]]</f>
        <v>6.5470000000000006</v>
      </c>
    </row>
    <row r="219" spans="1:10" x14ac:dyDescent="0.3">
      <c r="A219" t="s">
        <v>255</v>
      </c>
      <c r="B219" t="s">
        <v>129</v>
      </c>
      <c r="C219">
        <v>5</v>
      </c>
      <c r="D219" t="s">
        <v>10</v>
      </c>
      <c r="E219" t="str">
        <f>IF(Churn_part[[#This Row],[Type_Forfait]]="Pro Monde", "B2B", "B2C")</f>
        <v>B2C</v>
      </c>
      <c r="F219">
        <v>417</v>
      </c>
      <c r="G219" s="8">
        <v>90.71</v>
      </c>
      <c r="H219">
        <v>1</v>
      </c>
      <c r="I21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19" s="8">
        <f>Churn_part[[#This Row],[Facture_Mensuelle]]*Churn_part[[#This Row],[Remise Client]]</f>
        <v>40.819499999999998</v>
      </c>
    </row>
    <row r="220" spans="1:10" x14ac:dyDescent="0.3">
      <c r="A220" t="s">
        <v>256</v>
      </c>
      <c r="B220" t="s">
        <v>36</v>
      </c>
      <c r="C220">
        <v>2</v>
      </c>
      <c r="D220" t="s">
        <v>13</v>
      </c>
      <c r="E220" t="str">
        <f>IF(Churn_part[[#This Row],[Type_Forfait]]="Pro Monde", "B2B", "B2C")</f>
        <v>B2B</v>
      </c>
      <c r="F220">
        <v>142</v>
      </c>
      <c r="G220" s="8">
        <v>37.799999999999997</v>
      </c>
      <c r="H220">
        <v>0</v>
      </c>
      <c r="I22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20" s="8">
        <f>Churn_part[[#This Row],[Facture_Mensuelle]]*Churn_part[[#This Row],[Remise Client]]</f>
        <v>3.78</v>
      </c>
    </row>
    <row r="221" spans="1:10" x14ac:dyDescent="0.3">
      <c r="A221" t="s">
        <v>257</v>
      </c>
      <c r="B221" t="s">
        <v>61</v>
      </c>
      <c r="C221">
        <v>33</v>
      </c>
      <c r="D221" t="s">
        <v>18</v>
      </c>
      <c r="E221" t="str">
        <f>IF(Churn_part[[#This Row],[Type_Forfait]]="Pro Monde", "B2B", "B2C")</f>
        <v>B2C</v>
      </c>
      <c r="F221">
        <v>332</v>
      </c>
      <c r="G221" s="8">
        <v>76.41</v>
      </c>
      <c r="H221">
        <v>1</v>
      </c>
      <c r="I22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21" s="8">
        <f>Churn_part[[#This Row],[Facture_Mensuelle]]*Churn_part[[#This Row],[Remise Client]]</f>
        <v>34.384500000000003</v>
      </c>
    </row>
    <row r="222" spans="1:10" x14ac:dyDescent="0.3">
      <c r="A222" t="s">
        <v>258</v>
      </c>
      <c r="B222" t="s">
        <v>56</v>
      </c>
      <c r="C222">
        <v>15</v>
      </c>
      <c r="D222" t="s">
        <v>18</v>
      </c>
      <c r="E222" t="str">
        <f>IF(Churn_part[[#This Row],[Type_Forfait]]="Pro Monde", "B2B", "B2C")</f>
        <v>B2C</v>
      </c>
      <c r="F222">
        <v>319</v>
      </c>
      <c r="G222" s="8">
        <v>78.150000000000006</v>
      </c>
      <c r="H222">
        <v>4</v>
      </c>
      <c r="I22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22" s="8">
        <f>Churn_part[[#This Row],[Facture_Mensuelle]]*Churn_part[[#This Row],[Remise Client]]</f>
        <v>35.167500000000004</v>
      </c>
    </row>
    <row r="223" spans="1:10" x14ac:dyDescent="0.3">
      <c r="A223" t="s">
        <v>259</v>
      </c>
      <c r="B223" t="s">
        <v>28</v>
      </c>
      <c r="C223">
        <v>91</v>
      </c>
      <c r="D223" t="s">
        <v>18</v>
      </c>
      <c r="E223" t="str">
        <f>IF(Churn_part[[#This Row],[Type_Forfait]]="Pro Monde", "B2B", "B2C")</f>
        <v>B2C</v>
      </c>
      <c r="F223">
        <v>188</v>
      </c>
      <c r="G223" s="8">
        <v>65.78</v>
      </c>
      <c r="H223">
        <v>4</v>
      </c>
      <c r="I22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23" s="8">
        <f>Churn_part[[#This Row],[Facture_Mensuelle]]*Churn_part[[#This Row],[Remise Client]]</f>
        <v>0</v>
      </c>
    </row>
    <row r="224" spans="1:10" x14ac:dyDescent="0.3">
      <c r="A224" t="s">
        <v>260</v>
      </c>
      <c r="B224" t="s">
        <v>66</v>
      </c>
      <c r="C224">
        <v>118</v>
      </c>
      <c r="D224" t="s">
        <v>13</v>
      </c>
      <c r="E224" t="str">
        <f>IF(Churn_part[[#This Row],[Type_Forfait]]="Pro Monde", "B2B", "B2C")</f>
        <v>B2B</v>
      </c>
      <c r="F224">
        <v>22</v>
      </c>
      <c r="G224" s="8">
        <v>15.39</v>
      </c>
      <c r="H224">
        <v>1</v>
      </c>
      <c r="I22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24" s="8">
        <f>Churn_part[[#This Row],[Facture_Mensuelle]]*Churn_part[[#This Row],[Remise Client]]</f>
        <v>1.5390000000000001</v>
      </c>
    </row>
    <row r="225" spans="1:10" x14ac:dyDescent="0.3">
      <c r="A225" t="s">
        <v>261</v>
      </c>
      <c r="B225" t="s">
        <v>15</v>
      </c>
      <c r="C225">
        <v>18</v>
      </c>
      <c r="D225" t="s">
        <v>21</v>
      </c>
      <c r="E225" t="str">
        <f>IF(Churn_part[[#This Row],[Type_Forfait]]="Pro Monde", "B2B", "B2C")</f>
        <v>B2C</v>
      </c>
      <c r="F225">
        <v>34</v>
      </c>
      <c r="G225" s="8">
        <v>43.71</v>
      </c>
      <c r="H225">
        <v>1</v>
      </c>
      <c r="I22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25" s="8">
        <f>Churn_part[[#This Row],[Facture_Mensuelle]]*Churn_part[[#This Row],[Remise Client]]</f>
        <v>0</v>
      </c>
    </row>
    <row r="226" spans="1:10" x14ac:dyDescent="0.3">
      <c r="A226" t="s">
        <v>262</v>
      </c>
      <c r="B226" t="s">
        <v>59</v>
      </c>
      <c r="C226">
        <v>42</v>
      </c>
      <c r="D226" t="s">
        <v>21</v>
      </c>
      <c r="E226" t="str">
        <f>IF(Churn_part[[#This Row],[Type_Forfait]]="Pro Monde", "B2B", "B2C")</f>
        <v>B2C</v>
      </c>
      <c r="F226">
        <v>453</v>
      </c>
      <c r="G226" s="8">
        <v>36.700000000000003</v>
      </c>
      <c r="H226">
        <v>4</v>
      </c>
      <c r="I22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26" s="8">
        <f>Churn_part[[#This Row],[Facture_Mensuelle]]*Churn_part[[#This Row],[Remise Client]]</f>
        <v>16.515000000000001</v>
      </c>
    </row>
    <row r="227" spans="1:10" x14ac:dyDescent="0.3">
      <c r="A227" t="s">
        <v>263</v>
      </c>
      <c r="B227" t="s">
        <v>34</v>
      </c>
      <c r="C227">
        <v>86</v>
      </c>
      <c r="D227" t="s">
        <v>10</v>
      </c>
      <c r="E227" t="str">
        <f>IF(Churn_part[[#This Row],[Type_Forfait]]="Pro Monde", "B2B", "B2C")</f>
        <v>B2C</v>
      </c>
      <c r="F227">
        <v>111</v>
      </c>
      <c r="G227" s="8">
        <v>23.65</v>
      </c>
      <c r="H227">
        <v>0</v>
      </c>
      <c r="I22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27" s="8">
        <f>Churn_part[[#This Row],[Facture_Mensuelle]]*Churn_part[[#This Row],[Remise Client]]</f>
        <v>0</v>
      </c>
    </row>
    <row r="228" spans="1:10" x14ac:dyDescent="0.3">
      <c r="A228" t="s">
        <v>264</v>
      </c>
      <c r="B228" t="s">
        <v>12</v>
      </c>
      <c r="C228">
        <v>96</v>
      </c>
      <c r="D228" t="s">
        <v>21</v>
      </c>
      <c r="E228" t="str">
        <f>IF(Churn_part[[#This Row],[Type_Forfait]]="Pro Monde", "B2B", "B2C")</f>
        <v>B2C</v>
      </c>
      <c r="F228">
        <v>210</v>
      </c>
      <c r="G228" s="8">
        <v>28.39</v>
      </c>
      <c r="H228">
        <v>3</v>
      </c>
      <c r="I22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28" s="8">
        <f>Churn_part[[#This Row],[Facture_Mensuelle]]*Churn_part[[#This Row],[Remise Client]]</f>
        <v>0</v>
      </c>
    </row>
    <row r="229" spans="1:10" x14ac:dyDescent="0.3">
      <c r="A229" t="s">
        <v>265</v>
      </c>
      <c r="B229" t="s">
        <v>39</v>
      </c>
      <c r="C229">
        <v>60</v>
      </c>
      <c r="D229" t="s">
        <v>21</v>
      </c>
      <c r="E229" t="str">
        <f>IF(Churn_part[[#This Row],[Type_Forfait]]="Pro Monde", "B2B", "B2C")</f>
        <v>B2C</v>
      </c>
      <c r="F229">
        <v>154</v>
      </c>
      <c r="G229" s="8">
        <v>13.41</v>
      </c>
      <c r="H229">
        <v>5</v>
      </c>
      <c r="I22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29" s="8">
        <f>Churn_part[[#This Row],[Facture_Mensuelle]]*Churn_part[[#This Row],[Remise Client]]</f>
        <v>0</v>
      </c>
    </row>
    <row r="230" spans="1:10" x14ac:dyDescent="0.3">
      <c r="A230" t="s">
        <v>266</v>
      </c>
      <c r="B230" t="s">
        <v>36</v>
      </c>
      <c r="C230">
        <v>63</v>
      </c>
      <c r="D230" t="s">
        <v>18</v>
      </c>
      <c r="E230" t="str">
        <f>IF(Churn_part[[#This Row],[Type_Forfait]]="Pro Monde", "B2B", "B2C")</f>
        <v>B2C</v>
      </c>
      <c r="F230">
        <v>392</v>
      </c>
      <c r="G230" s="8">
        <v>93.11</v>
      </c>
      <c r="H230">
        <v>3</v>
      </c>
      <c r="I23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30" s="8">
        <f>Churn_part[[#This Row],[Facture_Mensuelle]]*Churn_part[[#This Row],[Remise Client]]</f>
        <v>41.899500000000003</v>
      </c>
    </row>
    <row r="231" spans="1:10" x14ac:dyDescent="0.3">
      <c r="A231" t="s">
        <v>267</v>
      </c>
      <c r="B231" t="s">
        <v>17</v>
      </c>
      <c r="C231">
        <v>60</v>
      </c>
      <c r="D231" t="s">
        <v>18</v>
      </c>
      <c r="E231" t="str">
        <f>IF(Churn_part[[#This Row],[Type_Forfait]]="Pro Monde", "B2B", "B2C")</f>
        <v>B2C</v>
      </c>
      <c r="F231">
        <v>306</v>
      </c>
      <c r="G231" s="8">
        <v>63.83</v>
      </c>
      <c r="H231">
        <v>2</v>
      </c>
      <c r="I23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31" s="8">
        <f>Churn_part[[#This Row],[Facture_Mensuelle]]*Churn_part[[#This Row],[Remise Client]]</f>
        <v>28.723500000000001</v>
      </c>
    </row>
    <row r="232" spans="1:10" x14ac:dyDescent="0.3">
      <c r="A232" t="s">
        <v>268</v>
      </c>
      <c r="B232" t="s">
        <v>17</v>
      </c>
      <c r="C232">
        <v>9</v>
      </c>
      <c r="D232" t="s">
        <v>13</v>
      </c>
      <c r="E232" t="str">
        <f>IF(Churn_part[[#This Row],[Type_Forfait]]="Pro Monde", "B2B", "B2C")</f>
        <v>B2B</v>
      </c>
      <c r="F232">
        <v>255</v>
      </c>
      <c r="G232" s="8">
        <v>95.13</v>
      </c>
      <c r="H232">
        <v>1</v>
      </c>
      <c r="I23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32" s="8">
        <f>Churn_part[[#This Row],[Facture_Mensuelle]]*Churn_part[[#This Row],[Remise Client]]</f>
        <v>9.5129999999999999</v>
      </c>
    </row>
    <row r="233" spans="1:10" x14ac:dyDescent="0.3">
      <c r="A233" t="s">
        <v>269</v>
      </c>
      <c r="B233" t="s">
        <v>32</v>
      </c>
      <c r="C233">
        <v>11</v>
      </c>
      <c r="D233" t="s">
        <v>18</v>
      </c>
      <c r="E233" t="str">
        <f>IF(Churn_part[[#This Row],[Type_Forfait]]="Pro Monde", "B2B", "B2C")</f>
        <v>B2C</v>
      </c>
      <c r="F233">
        <v>52</v>
      </c>
      <c r="G233" s="8">
        <v>76.53</v>
      </c>
      <c r="H233">
        <v>5</v>
      </c>
      <c r="I23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33" s="8">
        <f>Churn_part[[#This Row],[Facture_Mensuelle]]*Churn_part[[#This Row],[Remise Client]]</f>
        <v>0</v>
      </c>
    </row>
    <row r="234" spans="1:10" x14ac:dyDescent="0.3">
      <c r="A234" t="s">
        <v>270</v>
      </c>
      <c r="B234" t="s">
        <v>25</v>
      </c>
      <c r="C234">
        <v>71</v>
      </c>
      <c r="D234" t="s">
        <v>18</v>
      </c>
      <c r="E234" t="str">
        <f>IF(Churn_part[[#This Row],[Type_Forfait]]="Pro Monde", "B2B", "B2C")</f>
        <v>B2C</v>
      </c>
      <c r="F234">
        <v>364</v>
      </c>
      <c r="G234" s="8">
        <v>39.58</v>
      </c>
      <c r="H234">
        <v>1</v>
      </c>
      <c r="I23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34" s="8">
        <f>Churn_part[[#This Row],[Facture_Mensuelle]]*Churn_part[[#This Row],[Remise Client]]</f>
        <v>17.811</v>
      </c>
    </row>
    <row r="235" spans="1:10" x14ac:dyDescent="0.3">
      <c r="A235" t="s">
        <v>271</v>
      </c>
      <c r="B235" t="s">
        <v>9</v>
      </c>
      <c r="C235">
        <v>85</v>
      </c>
      <c r="D235" t="s">
        <v>10</v>
      </c>
      <c r="E235" t="str">
        <f>IF(Churn_part[[#This Row],[Type_Forfait]]="Pro Monde", "B2B", "B2C")</f>
        <v>B2C</v>
      </c>
      <c r="F235">
        <v>274</v>
      </c>
      <c r="G235" s="8">
        <v>35.03</v>
      </c>
      <c r="H235">
        <v>1</v>
      </c>
      <c r="I23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35" s="8">
        <f>Churn_part[[#This Row],[Facture_Mensuelle]]*Churn_part[[#This Row],[Remise Client]]</f>
        <v>15.763500000000001</v>
      </c>
    </row>
    <row r="236" spans="1:10" x14ac:dyDescent="0.3">
      <c r="A236" t="s">
        <v>272</v>
      </c>
      <c r="B236" t="s">
        <v>135</v>
      </c>
      <c r="C236">
        <v>32</v>
      </c>
      <c r="D236" t="s">
        <v>21</v>
      </c>
      <c r="E236" t="str">
        <f>IF(Churn_part[[#This Row],[Type_Forfait]]="Pro Monde", "B2B", "B2C")</f>
        <v>B2C</v>
      </c>
      <c r="F236">
        <v>405</v>
      </c>
      <c r="G236" s="8">
        <v>67.92</v>
      </c>
      <c r="H236">
        <v>3</v>
      </c>
      <c r="I23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36" s="8">
        <f>Churn_part[[#This Row],[Facture_Mensuelle]]*Churn_part[[#This Row],[Remise Client]]</f>
        <v>30.564</v>
      </c>
    </row>
    <row r="237" spans="1:10" x14ac:dyDescent="0.3">
      <c r="A237" t="s">
        <v>273</v>
      </c>
      <c r="B237" t="s">
        <v>59</v>
      </c>
      <c r="C237">
        <v>92</v>
      </c>
      <c r="D237" t="s">
        <v>18</v>
      </c>
      <c r="E237" t="str">
        <f>IF(Churn_part[[#This Row],[Type_Forfait]]="Pro Monde", "B2B", "B2C")</f>
        <v>B2C</v>
      </c>
      <c r="F237">
        <v>472</v>
      </c>
      <c r="G237" s="8">
        <v>78.44</v>
      </c>
      <c r="H237">
        <v>1</v>
      </c>
      <c r="I23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37" s="8">
        <f>Churn_part[[#This Row],[Facture_Mensuelle]]*Churn_part[[#This Row],[Remise Client]]</f>
        <v>35.298000000000002</v>
      </c>
    </row>
    <row r="238" spans="1:10" x14ac:dyDescent="0.3">
      <c r="A238" t="s">
        <v>274</v>
      </c>
      <c r="B238" t="s">
        <v>50</v>
      </c>
      <c r="C238">
        <v>57</v>
      </c>
      <c r="D238" t="s">
        <v>21</v>
      </c>
      <c r="E238" t="str">
        <f>IF(Churn_part[[#This Row],[Type_Forfait]]="Pro Monde", "B2B", "B2C")</f>
        <v>B2C</v>
      </c>
      <c r="F238">
        <v>435</v>
      </c>
      <c r="G238" s="8">
        <v>56.88</v>
      </c>
      <c r="H238">
        <v>4</v>
      </c>
      <c r="I23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38" s="8">
        <f>Churn_part[[#This Row],[Facture_Mensuelle]]*Churn_part[[#This Row],[Remise Client]]</f>
        <v>25.596</v>
      </c>
    </row>
    <row r="239" spans="1:10" x14ac:dyDescent="0.3">
      <c r="A239" t="s">
        <v>275</v>
      </c>
      <c r="B239" t="s">
        <v>20</v>
      </c>
      <c r="C239">
        <v>18</v>
      </c>
      <c r="D239" t="s">
        <v>18</v>
      </c>
      <c r="E239" t="str">
        <f>IF(Churn_part[[#This Row],[Type_Forfait]]="Pro Monde", "B2B", "B2C")</f>
        <v>B2C</v>
      </c>
      <c r="F239">
        <v>291</v>
      </c>
      <c r="G239" s="8">
        <v>97.98</v>
      </c>
      <c r="H239">
        <v>1</v>
      </c>
      <c r="I23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39" s="8">
        <f>Churn_part[[#This Row],[Facture_Mensuelle]]*Churn_part[[#This Row],[Remise Client]]</f>
        <v>44.091000000000001</v>
      </c>
    </row>
    <row r="240" spans="1:10" x14ac:dyDescent="0.3">
      <c r="A240" t="s">
        <v>276</v>
      </c>
      <c r="B240" t="s">
        <v>39</v>
      </c>
      <c r="C240">
        <v>61</v>
      </c>
      <c r="D240" t="s">
        <v>21</v>
      </c>
      <c r="E240" t="str">
        <f>IF(Churn_part[[#This Row],[Type_Forfait]]="Pro Monde", "B2B", "B2C")</f>
        <v>B2C</v>
      </c>
      <c r="F240">
        <v>87</v>
      </c>
      <c r="G240" s="8">
        <v>68.319999999999993</v>
      </c>
      <c r="H240">
        <v>2</v>
      </c>
      <c r="I24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40" s="8">
        <f>Churn_part[[#This Row],[Facture_Mensuelle]]*Churn_part[[#This Row],[Remise Client]]</f>
        <v>0</v>
      </c>
    </row>
    <row r="241" spans="1:10" x14ac:dyDescent="0.3">
      <c r="A241" t="s">
        <v>277</v>
      </c>
      <c r="B241" t="s">
        <v>135</v>
      </c>
      <c r="C241">
        <v>106</v>
      </c>
      <c r="D241" t="s">
        <v>21</v>
      </c>
      <c r="E241" t="str">
        <f>IF(Churn_part[[#This Row],[Type_Forfait]]="Pro Monde", "B2B", "B2C")</f>
        <v>B2C</v>
      </c>
      <c r="F241">
        <v>128</v>
      </c>
      <c r="G241" s="8">
        <v>35.96</v>
      </c>
      <c r="H241">
        <v>2</v>
      </c>
      <c r="I24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41" s="8">
        <f>Churn_part[[#This Row],[Facture_Mensuelle]]*Churn_part[[#This Row],[Remise Client]]</f>
        <v>0</v>
      </c>
    </row>
    <row r="242" spans="1:10" x14ac:dyDescent="0.3">
      <c r="A242" t="s">
        <v>278</v>
      </c>
      <c r="B242" t="s">
        <v>50</v>
      </c>
      <c r="C242">
        <v>36</v>
      </c>
      <c r="D242" t="s">
        <v>18</v>
      </c>
      <c r="E242" t="str">
        <f>IF(Churn_part[[#This Row],[Type_Forfait]]="Pro Monde", "B2B", "B2C")</f>
        <v>B2C</v>
      </c>
      <c r="F242">
        <v>491</v>
      </c>
      <c r="G242" s="8">
        <v>12.13</v>
      </c>
      <c r="H242">
        <v>4</v>
      </c>
      <c r="I24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42" s="8">
        <f>Churn_part[[#This Row],[Facture_Mensuelle]]*Churn_part[[#This Row],[Remise Client]]</f>
        <v>5.4585000000000008</v>
      </c>
    </row>
    <row r="243" spans="1:10" x14ac:dyDescent="0.3">
      <c r="A243" t="s">
        <v>279</v>
      </c>
      <c r="B243" t="s">
        <v>72</v>
      </c>
      <c r="C243">
        <v>108</v>
      </c>
      <c r="D243" t="s">
        <v>13</v>
      </c>
      <c r="E243" t="str">
        <f>IF(Churn_part[[#This Row],[Type_Forfait]]="Pro Monde", "B2B", "B2C")</f>
        <v>B2B</v>
      </c>
      <c r="F243">
        <v>48</v>
      </c>
      <c r="G243" s="8">
        <v>86.22</v>
      </c>
      <c r="H243">
        <v>3</v>
      </c>
      <c r="I24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43" s="8">
        <f>Churn_part[[#This Row],[Facture_Mensuelle]]*Churn_part[[#This Row],[Remise Client]]</f>
        <v>8.6219999999999999</v>
      </c>
    </row>
    <row r="244" spans="1:10" x14ac:dyDescent="0.3">
      <c r="A244" t="s">
        <v>280</v>
      </c>
      <c r="B244" t="s">
        <v>135</v>
      </c>
      <c r="C244">
        <v>21</v>
      </c>
      <c r="D244" t="s">
        <v>18</v>
      </c>
      <c r="E244" t="str">
        <f>IF(Churn_part[[#This Row],[Type_Forfait]]="Pro Monde", "B2B", "B2C")</f>
        <v>B2C</v>
      </c>
      <c r="F244">
        <v>307</v>
      </c>
      <c r="G244" s="8">
        <v>39.81</v>
      </c>
      <c r="H244">
        <v>5</v>
      </c>
      <c r="I24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44" s="8">
        <f>Churn_part[[#This Row],[Facture_Mensuelle]]*Churn_part[[#This Row],[Remise Client]]</f>
        <v>17.9145</v>
      </c>
    </row>
    <row r="245" spans="1:10" x14ac:dyDescent="0.3">
      <c r="A245" t="s">
        <v>281</v>
      </c>
      <c r="B245" t="s">
        <v>135</v>
      </c>
      <c r="C245">
        <v>22</v>
      </c>
      <c r="D245" t="s">
        <v>10</v>
      </c>
      <c r="E245" t="str">
        <f>IF(Churn_part[[#This Row],[Type_Forfait]]="Pro Monde", "B2B", "B2C")</f>
        <v>B2C</v>
      </c>
      <c r="F245">
        <v>166</v>
      </c>
      <c r="G245" s="8">
        <v>31.8</v>
      </c>
      <c r="H245">
        <v>1</v>
      </c>
      <c r="I24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45" s="8">
        <f>Churn_part[[#This Row],[Facture_Mensuelle]]*Churn_part[[#This Row],[Remise Client]]</f>
        <v>0</v>
      </c>
    </row>
    <row r="246" spans="1:10" x14ac:dyDescent="0.3">
      <c r="A246" t="s">
        <v>282</v>
      </c>
      <c r="B246" t="s">
        <v>77</v>
      </c>
      <c r="C246">
        <v>108</v>
      </c>
      <c r="D246" t="s">
        <v>10</v>
      </c>
      <c r="E246" t="str">
        <f>IF(Churn_part[[#This Row],[Type_Forfait]]="Pro Monde", "B2B", "B2C")</f>
        <v>B2C</v>
      </c>
      <c r="F246">
        <v>323</v>
      </c>
      <c r="G246" s="8">
        <v>58.54</v>
      </c>
      <c r="H246">
        <v>2</v>
      </c>
      <c r="I24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46" s="8">
        <f>Churn_part[[#This Row],[Facture_Mensuelle]]*Churn_part[[#This Row],[Remise Client]]</f>
        <v>26.343</v>
      </c>
    </row>
    <row r="247" spans="1:10" x14ac:dyDescent="0.3">
      <c r="A247" t="s">
        <v>283</v>
      </c>
      <c r="B247" t="s">
        <v>9</v>
      </c>
      <c r="C247">
        <v>3</v>
      </c>
      <c r="D247" t="s">
        <v>21</v>
      </c>
      <c r="E247" t="str">
        <f>IF(Churn_part[[#This Row],[Type_Forfait]]="Pro Monde", "B2B", "B2C")</f>
        <v>B2C</v>
      </c>
      <c r="F247">
        <v>356</v>
      </c>
      <c r="G247" s="8">
        <v>91.6</v>
      </c>
      <c r="H247">
        <v>3</v>
      </c>
      <c r="I24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47" s="8">
        <f>Churn_part[[#This Row],[Facture_Mensuelle]]*Churn_part[[#This Row],[Remise Client]]</f>
        <v>41.22</v>
      </c>
    </row>
    <row r="248" spans="1:10" x14ac:dyDescent="0.3">
      <c r="A248" t="s">
        <v>284</v>
      </c>
      <c r="B248" t="s">
        <v>125</v>
      </c>
      <c r="C248">
        <v>78</v>
      </c>
      <c r="D248" t="s">
        <v>21</v>
      </c>
      <c r="E248" t="str">
        <f>IF(Churn_part[[#This Row],[Type_Forfait]]="Pro Monde", "B2B", "B2C")</f>
        <v>B2C</v>
      </c>
      <c r="F248">
        <v>198</v>
      </c>
      <c r="G248" s="8">
        <v>69.849999999999994</v>
      </c>
      <c r="H248">
        <v>0</v>
      </c>
      <c r="I24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48" s="8">
        <f>Churn_part[[#This Row],[Facture_Mensuelle]]*Churn_part[[#This Row],[Remise Client]]</f>
        <v>0</v>
      </c>
    </row>
    <row r="249" spans="1:10" x14ac:dyDescent="0.3">
      <c r="A249" t="s">
        <v>285</v>
      </c>
      <c r="B249" t="s">
        <v>28</v>
      </c>
      <c r="C249">
        <v>13</v>
      </c>
      <c r="D249" t="s">
        <v>13</v>
      </c>
      <c r="E249" t="str">
        <f>IF(Churn_part[[#This Row],[Type_Forfait]]="Pro Monde", "B2B", "B2C")</f>
        <v>B2B</v>
      </c>
      <c r="F249">
        <v>347</v>
      </c>
      <c r="G249" s="8">
        <v>32.35</v>
      </c>
      <c r="H249">
        <v>2</v>
      </c>
      <c r="I24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49" s="8">
        <f>Churn_part[[#This Row],[Facture_Mensuelle]]*Churn_part[[#This Row],[Remise Client]]</f>
        <v>3.2350000000000003</v>
      </c>
    </row>
    <row r="250" spans="1:10" x14ac:dyDescent="0.3">
      <c r="A250" t="s">
        <v>286</v>
      </c>
      <c r="B250" t="s">
        <v>66</v>
      </c>
      <c r="C250">
        <v>23</v>
      </c>
      <c r="D250" t="s">
        <v>13</v>
      </c>
      <c r="E250" t="str">
        <f>IF(Churn_part[[#This Row],[Type_Forfait]]="Pro Monde", "B2B", "B2C")</f>
        <v>B2B</v>
      </c>
      <c r="F250">
        <v>473</v>
      </c>
      <c r="G250" s="8">
        <v>71.86</v>
      </c>
      <c r="H250">
        <v>3</v>
      </c>
      <c r="I25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50" s="8">
        <f>Churn_part[[#This Row],[Facture_Mensuelle]]*Churn_part[[#This Row],[Remise Client]]</f>
        <v>7.1859999999999999</v>
      </c>
    </row>
    <row r="251" spans="1:10" x14ac:dyDescent="0.3">
      <c r="A251" t="s">
        <v>287</v>
      </c>
      <c r="B251" t="s">
        <v>9</v>
      </c>
      <c r="C251">
        <v>96</v>
      </c>
      <c r="D251" t="s">
        <v>21</v>
      </c>
      <c r="E251" t="str">
        <f>IF(Churn_part[[#This Row],[Type_Forfait]]="Pro Monde", "B2B", "B2C")</f>
        <v>B2C</v>
      </c>
      <c r="F251">
        <v>290</v>
      </c>
      <c r="G251" s="8">
        <v>29</v>
      </c>
      <c r="H251">
        <v>3</v>
      </c>
      <c r="I25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51" s="8">
        <f>Churn_part[[#This Row],[Facture_Mensuelle]]*Churn_part[[#This Row],[Remise Client]]</f>
        <v>13.05</v>
      </c>
    </row>
    <row r="252" spans="1:10" x14ac:dyDescent="0.3">
      <c r="A252" t="s">
        <v>288</v>
      </c>
      <c r="B252" t="s">
        <v>72</v>
      </c>
      <c r="C252">
        <v>48</v>
      </c>
      <c r="D252" t="s">
        <v>10</v>
      </c>
      <c r="E252" t="str">
        <f>IF(Churn_part[[#This Row],[Type_Forfait]]="Pro Monde", "B2B", "B2C")</f>
        <v>B2C</v>
      </c>
      <c r="F252">
        <v>416</v>
      </c>
      <c r="G252" s="8">
        <v>81.260000000000005</v>
      </c>
      <c r="H252">
        <v>5</v>
      </c>
      <c r="I25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52" s="8">
        <f>Churn_part[[#This Row],[Facture_Mensuelle]]*Churn_part[[#This Row],[Remise Client]]</f>
        <v>36.567</v>
      </c>
    </row>
    <row r="253" spans="1:10" x14ac:dyDescent="0.3">
      <c r="A253" t="s">
        <v>289</v>
      </c>
      <c r="B253" t="s">
        <v>30</v>
      </c>
      <c r="C253">
        <v>50</v>
      </c>
      <c r="D253" t="s">
        <v>13</v>
      </c>
      <c r="E253" t="str">
        <f>IF(Churn_part[[#This Row],[Type_Forfait]]="Pro Monde", "B2B", "B2C")</f>
        <v>B2B</v>
      </c>
      <c r="F253">
        <v>108</v>
      </c>
      <c r="G253" s="8">
        <v>43.81</v>
      </c>
      <c r="H253">
        <v>5</v>
      </c>
      <c r="I25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53" s="8">
        <f>Churn_part[[#This Row],[Facture_Mensuelle]]*Churn_part[[#This Row],[Remise Client]]</f>
        <v>4.3810000000000002</v>
      </c>
    </row>
    <row r="254" spans="1:10" x14ac:dyDescent="0.3">
      <c r="A254" t="s">
        <v>290</v>
      </c>
      <c r="B254" t="s">
        <v>17</v>
      </c>
      <c r="C254">
        <v>63</v>
      </c>
      <c r="D254" t="s">
        <v>21</v>
      </c>
      <c r="E254" t="str">
        <f>IF(Churn_part[[#This Row],[Type_Forfait]]="Pro Monde", "B2B", "B2C")</f>
        <v>B2C</v>
      </c>
      <c r="F254">
        <v>95</v>
      </c>
      <c r="G254" s="8">
        <v>56.81</v>
      </c>
      <c r="H254">
        <v>0</v>
      </c>
      <c r="I25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54" s="8">
        <f>Churn_part[[#This Row],[Facture_Mensuelle]]*Churn_part[[#This Row],[Remise Client]]</f>
        <v>0</v>
      </c>
    </row>
    <row r="255" spans="1:10" x14ac:dyDescent="0.3">
      <c r="A255" t="s">
        <v>291</v>
      </c>
      <c r="B255" t="s">
        <v>9</v>
      </c>
      <c r="C255">
        <v>40</v>
      </c>
      <c r="D255" t="s">
        <v>10</v>
      </c>
      <c r="E255" t="str">
        <f>IF(Churn_part[[#This Row],[Type_Forfait]]="Pro Monde", "B2B", "B2C")</f>
        <v>B2C</v>
      </c>
      <c r="F255">
        <v>102</v>
      </c>
      <c r="G255" s="8">
        <v>96.59</v>
      </c>
      <c r="H255">
        <v>5</v>
      </c>
      <c r="I25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55" s="8">
        <f>Churn_part[[#This Row],[Facture_Mensuelle]]*Churn_part[[#This Row],[Remise Client]]</f>
        <v>0</v>
      </c>
    </row>
    <row r="256" spans="1:10" x14ac:dyDescent="0.3">
      <c r="A256" t="s">
        <v>292</v>
      </c>
      <c r="B256" t="s">
        <v>135</v>
      </c>
      <c r="C256">
        <v>83</v>
      </c>
      <c r="D256" t="s">
        <v>21</v>
      </c>
      <c r="E256" t="str">
        <f>IF(Churn_part[[#This Row],[Type_Forfait]]="Pro Monde", "B2B", "B2C")</f>
        <v>B2C</v>
      </c>
      <c r="F256">
        <v>30</v>
      </c>
      <c r="G256" s="8">
        <v>33.93</v>
      </c>
      <c r="H256">
        <v>3</v>
      </c>
      <c r="I25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56" s="8">
        <f>Churn_part[[#This Row],[Facture_Mensuelle]]*Churn_part[[#This Row],[Remise Client]]</f>
        <v>0</v>
      </c>
    </row>
    <row r="257" spans="1:10" x14ac:dyDescent="0.3">
      <c r="A257" t="s">
        <v>293</v>
      </c>
      <c r="B257" t="s">
        <v>43</v>
      </c>
      <c r="C257">
        <v>76</v>
      </c>
      <c r="D257" t="s">
        <v>21</v>
      </c>
      <c r="E257" t="str">
        <f>IF(Churn_part[[#This Row],[Type_Forfait]]="Pro Monde", "B2B", "B2C")</f>
        <v>B2C</v>
      </c>
      <c r="F257">
        <v>383</v>
      </c>
      <c r="G257" s="8">
        <v>53.73</v>
      </c>
      <c r="H257">
        <v>2</v>
      </c>
      <c r="I25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57" s="8">
        <f>Churn_part[[#This Row],[Facture_Mensuelle]]*Churn_part[[#This Row],[Remise Client]]</f>
        <v>24.1785</v>
      </c>
    </row>
    <row r="258" spans="1:10" x14ac:dyDescent="0.3">
      <c r="A258" t="s">
        <v>294</v>
      </c>
      <c r="B258" t="s">
        <v>23</v>
      </c>
      <c r="C258">
        <v>10</v>
      </c>
      <c r="D258" t="s">
        <v>18</v>
      </c>
      <c r="E258" t="str">
        <f>IF(Churn_part[[#This Row],[Type_Forfait]]="Pro Monde", "B2B", "B2C")</f>
        <v>B2C</v>
      </c>
      <c r="F258">
        <v>93</v>
      </c>
      <c r="G258" s="8">
        <v>78.12</v>
      </c>
      <c r="H258">
        <v>4</v>
      </c>
      <c r="I25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58" s="8">
        <f>Churn_part[[#This Row],[Facture_Mensuelle]]*Churn_part[[#This Row],[Remise Client]]</f>
        <v>0</v>
      </c>
    </row>
    <row r="259" spans="1:10" x14ac:dyDescent="0.3">
      <c r="A259" t="s">
        <v>295</v>
      </c>
      <c r="B259" t="s">
        <v>63</v>
      </c>
      <c r="C259">
        <v>114</v>
      </c>
      <c r="D259" t="s">
        <v>18</v>
      </c>
      <c r="E259" t="str">
        <f>IF(Churn_part[[#This Row],[Type_Forfait]]="Pro Monde", "B2B", "B2C")</f>
        <v>B2C</v>
      </c>
      <c r="F259">
        <v>388</v>
      </c>
      <c r="G259" s="8">
        <v>40.29</v>
      </c>
      <c r="H259">
        <v>5</v>
      </c>
      <c r="I25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59" s="8">
        <f>Churn_part[[#This Row],[Facture_Mensuelle]]*Churn_part[[#This Row],[Remise Client]]</f>
        <v>18.130500000000001</v>
      </c>
    </row>
    <row r="260" spans="1:10" x14ac:dyDescent="0.3">
      <c r="A260" t="s">
        <v>296</v>
      </c>
      <c r="B260" t="s">
        <v>135</v>
      </c>
      <c r="C260">
        <v>5</v>
      </c>
      <c r="D260" t="s">
        <v>13</v>
      </c>
      <c r="E260" t="str">
        <f>IF(Churn_part[[#This Row],[Type_Forfait]]="Pro Monde", "B2B", "B2C")</f>
        <v>B2B</v>
      </c>
      <c r="F260">
        <v>98</v>
      </c>
      <c r="G260" s="8">
        <v>71.37</v>
      </c>
      <c r="H260">
        <v>1</v>
      </c>
      <c r="I26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60" s="8">
        <f>Churn_part[[#This Row],[Facture_Mensuelle]]*Churn_part[[#This Row],[Remise Client]]</f>
        <v>7.1370000000000005</v>
      </c>
    </row>
    <row r="261" spans="1:10" x14ac:dyDescent="0.3">
      <c r="A261" t="s">
        <v>297</v>
      </c>
      <c r="B261" t="s">
        <v>129</v>
      </c>
      <c r="C261">
        <v>118</v>
      </c>
      <c r="D261" t="s">
        <v>13</v>
      </c>
      <c r="E261" t="str">
        <f>IF(Churn_part[[#This Row],[Type_Forfait]]="Pro Monde", "B2B", "B2C")</f>
        <v>B2B</v>
      </c>
      <c r="F261">
        <v>132</v>
      </c>
      <c r="G261" s="8">
        <v>40.880000000000003</v>
      </c>
      <c r="H261">
        <v>4</v>
      </c>
      <c r="I26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61" s="8">
        <f>Churn_part[[#This Row],[Facture_Mensuelle]]*Churn_part[[#This Row],[Remise Client]]</f>
        <v>4.0880000000000001</v>
      </c>
    </row>
    <row r="262" spans="1:10" x14ac:dyDescent="0.3">
      <c r="A262" t="s">
        <v>298</v>
      </c>
      <c r="B262" t="s">
        <v>9</v>
      </c>
      <c r="C262">
        <v>16</v>
      </c>
      <c r="D262" t="s">
        <v>18</v>
      </c>
      <c r="E262" t="str">
        <f>IF(Churn_part[[#This Row],[Type_Forfait]]="Pro Monde", "B2B", "B2C")</f>
        <v>B2C</v>
      </c>
      <c r="F262">
        <v>461</v>
      </c>
      <c r="G262" s="8">
        <v>38.369999999999997</v>
      </c>
      <c r="H262">
        <v>4</v>
      </c>
      <c r="I26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62" s="8">
        <f>Churn_part[[#This Row],[Facture_Mensuelle]]*Churn_part[[#This Row],[Remise Client]]</f>
        <v>17.266500000000001</v>
      </c>
    </row>
    <row r="263" spans="1:10" x14ac:dyDescent="0.3">
      <c r="A263" t="s">
        <v>299</v>
      </c>
      <c r="B263" t="s">
        <v>39</v>
      </c>
      <c r="C263">
        <v>50</v>
      </c>
      <c r="D263" t="s">
        <v>21</v>
      </c>
      <c r="E263" t="str">
        <f>IF(Churn_part[[#This Row],[Type_Forfait]]="Pro Monde", "B2B", "B2C")</f>
        <v>B2C</v>
      </c>
      <c r="F263">
        <v>446</v>
      </c>
      <c r="G263" s="8">
        <v>31.56</v>
      </c>
      <c r="H263">
        <v>5</v>
      </c>
      <c r="I26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63" s="8">
        <f>Churn_part[[#This Row],[Facture_Mensuelle]]*Churn_part[[#This Row],[Remise Client]]</f>
        <v>14.202</v>
      </c>
    </row>
    <row r="264" spans="1:10" x14ac:dyDescent="0.3">
      <c r="A264" t="s">
        <v>300</v>
      </c>
      <c r="B264" t="s">
        <v>135</v>
      </c>
      <c r="C264">
        <v>120</v>
      </c>
      <c r="D264" t="s">
        <v>13</v>
      </c>
      <c r="E264" t="str">
        <f>IF(Churn_part[[#This Row],[Type_Forfait]]="Pro Monde", "B2B", "B2C")</f>
        <v>B2B</v>
      </c>
      <c r="F264">
        <v>209</v>
      </c>
      <c r="G264" s="8">
        <v>42.51</v>
      </c>
      <c r="H264">
        <v>4</v>
      </c>
      <c r="I26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64" s="8">
        <f>Churn_part[[#This Row],[Facture_Mensuelle]]*Churn_part[[#This Row],[Remise Client]]</f>
        <v>4.2510000000000003</v>
      </c>
    </row>
    <row r="265" spans="1:10" x14ac:dyDescent="0.3">
      <c r="A265" t="s">
        <v>301</v>
      </c>
      <c r="B265" t="s">
        <v>34</v>
      </c>
      <c r="C265">
        <v>73</v>
      </c>
      <c r="D265" t="s">
        <v>21</v>
      </c>
      <c r="E265" t="str">
        <f>IF(Churn_part[[#This Row],[Type_Forfait]]="Pro Monde", "B2B", "B2C")</f>
        <v>B2C</v>
      </c>
      <c r="F265">
        <v>225</v>
      </c>
      <c r="G265" s="8">
        <v>45.86</v>
      </c>
      <c r="H265">
        <v>0</v>
      </c>
      <c r="I26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65" s="8">
        <f>Churn_part[[#This Row],[Facture_Mensuelle]]*Churn_part[[#This Row],[Remise Client]]</f>
        <v>0</v>
      </c>
    </row>
    <row r="266" spans="1:10" x14ac:dyDescent="0.3">
      <c r="A266" t="s">
        <v>302</v>
      </c>
      <c r="B266" t="s">
        <v>30</v>
      </c>
      <c r="C266">
        <v>21</v>
      </c>
      <c r="D266" t="s">
        <v>13</v>
      </c>
      <c r="E266" t="str">
        <f>IF(Churn_part[[#This Row],[Type_Forfait]]="Pro Monde", "B2B", "B2C")</f>
        <v>B2B</v>
      </c>
      <c r="F266">
        <v>320</v>
      </c>
      <c r="G266" s="8">
        <v>64.97</v>
      </c>
      <c r="H266">
        <v>1</v>
      </c>
      <c r="I26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66" s="8">
        <f>Churn_part[[#This Row],[Facture_Mensuelle]]*Churn_part[[#This Row],[Remise Client]]</f>
        <v>6.4969999999999999</v>
      </c>
    </row>
    <row r="267" spans="1:10" x14ac:dyDescent="0.3">
      <c r="A267" t="s">
        <v>303</v>
      </c>
      <c r="B267" t="s">
        <v>59</v>
      </c>
      <c r="C267">
        <v>25</v>
      </c>
      <c r="D267" t="s">
        <v>10</v>
      </c>
      <c r="E267" t="str">
        <f>IF(Churn_part[[#This Row],[Type_Forfait]]="Pro Monde", "B2B", "B2C")</f>
        <v>B2C</v>
      </c>
      <c r="F267">
        <v>467</v>
      </c>
      <c r="G267" s="8">
        <v>97.78</v>
      </c>
      <c r="H267">
        <v>3</v>
      </c>
      <c r="I26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67" s="8">
        <f>Churn_part[[#This Row],[Facture_Mensuelle]]*Churn_part[[#This Row],[Remise Client]]</f>
        <v>44.001000000000005</v>
      </c>
    </row>
    <row r="268" spans="1:10" x14ac:dyDescent="0.3">
      <c r="A268" t="s">
        <v>304</v>
      </c>
      <c r="B268" t="s">
        <v>43</v>
      </c>
      <c r="C268">
        <v>98</v>
      </c>
      <c r="D268" t="s">
        <v>10</v>
      </c>
      <c r="E268" t="str">
        <f>IF(Churn_part[[#This Row],[Type_Forfait]]="Pro Monde", "B2B", "B2C")</f>
        <v>B2C</v>
      </c>
      <c r="F268">
        <v>319</v>
      </c>
      <c r="G268" s="8">
        <v>88.58</v>
      </c>
      <c r="H268">
        <v>0</v>
      </c>
      <c r="I26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68" s="8">
        <f>Churn_part[[#This Row],[Facture_Mensuelle]]*Churn_part[[#This Row],[Remise Client]]</f>
        <v>39.860999999999997</v>
      </c>
    </row>
    <row r="269" spans="1:10" x14ac:dyDescent="0.3">
      <c r="A269" t="s">
        <v>305</v>
      </c>
      <c r="B269" t="s">
        <v>59</v>
      </c>
      <c r="C269">
        <v>56</v>
      </c>
      <c r="D269" t="s">
        <v>13</v>
      </c>
      <c r="E269" t="str">
        <f>IF(Churn_part[[#This Row],[Type_Forfait]]="Pro Monde", "B2B", "B2C")</f>
        <v>B2B</v>
      </c>
      <c r="F269">
        <v>55</v>
      </c>
      <c r="G269" s="8">
        <v>82.56</v>
      </c>
      <c r="H269">
        <v>2</v>
      </c>
      <c r="I26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69" s="8">
        <f>Churn_part[[#This Row],[Facture_Mensuelle]]*Churn_part[[#This Row],[Remise Client]]</f>
        <v>8.2560000000000002</v>
      </c>
    </row>
    <row r="270" spans="1:10" x14ac:dyDescent="0.3">
      <c r="A270" t="s">
        <v>306</v>
      </c>
      <c r="B270" t="s">
        <v>17</v>
      </c>
      <c r="C270">
        <v>33</v>
      </c>
      <c r="D270" t="s">
        <v>10</v>
      </c>
      <c r="E270" t="str">
        <f>IF(Churn_part[[#This Row],[Type_Forfait]]="Pro Monde", "B2B", "B2C")</f>
        <v>B2C</v>
      </c>
      <c r="F270">
        <v>444</v>
      </c>
      <c r="G270" s="8">
        <v>10.28</v>
      </c>
      <c r="H270">
        <v>5</v>
      </c>
      <c r="I27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70" s="8">
        <f>Churn_part[[#This Row],[Facture_Mensuelle]]*Churn_part[[#This Row],[Remise Client]]</f>
        <v>4.6259999999999994</v>
      </c>
    </row>
    <row r="271" spans="1:10" x14ac:dyDescent="0.3">
      <c r="A271" t="s">
        <v>307</v>
      </c>
      <c r="B271" t="s">
        <v>28</v>
      </c>
      <c r="C271">
        <v>99</v>
      </c>
      <c r="D271" t="s">
        <v>13</v>
      </c>
      <c r="E271" t="str">
        <f>IF(Churn_part[[#This Row],[Type_Forfait]]="Pro Monde", "B2B", "B2C")</f>
        <v>B2B</v>
      </c>
      <c r="F271">
        <v>325</v>
      </c>
      <c r="G271" s="8">
        <v>88.35</v>
      </c>
      <c r="H271">
        <v>4</v>
      </c>
      <c r="I27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71" s="8">
        <f>Churn_part[[#This Row],[Facture_Mensuelle]]*Churn_part[[#This Row],[Remise Client]]</f>
        <v>8.8349999999999991</v>
      </c>
    </row>
    <row r="272" spans="1:10" x14ac:dyDescent="0.3">
      <c r="A272" t="s">
        <v>308</v>
      </c>
      <c r="B272" t="s">
        <v>66</v>
      </c>
      <c r="C272">
        <v>117</v>
      </c>
      <c r="D272" t="s">
        <v>18</v>
      </c>
      <c r="E272" t="str">
        <f>IF(Churn_part[[#This Row],[Type_Forfait]]="Pro Monde", "B2B", "B2C")</f>
        <v>B2C</v>
      </c>
      <c r="F272">
        <v>85</v>
      </c>
      <c r="G272" s="8">
        <v>46.16</v>
      </c>
      <c r="H272">
        <v>3</v>
      </c>
      <c r="I27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72" s="8">
        <f>Churn_part[[#This Row],[Facture_Mensuelle]]*Churn_part[[#This Row],[Remise Client]]</f>
        <v>0</v>
      </c>
    </row>
    <row r="273" spans="1:10" x14ac:dyDescent="0.3">
      <c r="A273" t="s">
        <v>309</v>
      </c>
      <c r="B273" t="s">
        <v>129</v>
      </c>
      <c r="C273">
        <v>97</v>
      </c>
      <c r="D273" t="s">
        <v>18</v>
      </c>
      <c r="E273" t="str">
        <f>IF(Churn_part[[#This Row],[Type_Forfait]]="Pro Monde", "B2B", "B2C")</f>
        <v>B2C</v>
      </c>
      <c r="F273">
        <v>40</v>
      </c>
      <c r="G273" s="8">
        <v>85.19</v>
      </c>
      <c r="H273">
        <v>1</v>
      </c>
      <c r="I27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73" s="8">
        <f>Churn_part[[#This Row],[Facture_Mensuelle]]*Churn_part[[#This Row],[Remise Client]]</f>
        <v>0</v>
      </c>
    </row>
    <row r="274" spans="1:10" x14ac:dyDescent="0.3">
      <c r="A274" t="s">
        <v>310</v>
      </c>
      <c r="B274" t="s">
        <v>125</v>
      </c>
      <c r="C274">
        <v>93</v>
      </c>
      <c r="D274" t="s">
        <v>10</v>
      </c>
      <c r="E274" t="str">
        <f>IF(Churn_part[[#This Row],[Type_Forfait]]="Pro Monde", "B2B", "B2C")</f>
        <v>B2C</v>
      </c>
      <c r="F274">
        <v>150</v>
      </c>
      <c r="G274" s="8">
        <v>93.25</v>
      </c>
      <c r="H274">
        <v>3</v>
      </c>
      <c r="I27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74" s="8">
        <f>Churn_part[[#This Row],[Facture_Mensuelle]]*Churn_part[[#This Row],[Remise Client]]</f>
        <v>0</v>
      </c>
    </row>
    <row r="275" spans="1:10" x14ac:dyDescent="0.3">
      <c r="A275" t="s">
        <v>311</v>
      </c>
      <c r="B275" t="s">
        <v>34</v>
      </c>
      <c r="C275">
        <v>45</v>
      </c>
      <c r="D275" t="s">
        <v>21</v>
      </c>
      <c r="E275" t="str">
        <f>IF(Churn_part[[#This Row],[Type_Forfait]]="Pro Monde", "B2B", "B2C")</f>
        <v>B2C</v>
      </c>
      <c r="F275">
        <v>43</v>
      </c>
      <c r="G275" s="8">
        <v>12.31</v>
      </c>
      <c r="H275">
        <v>0</v>
      </c>
      <c r="I27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75" s="8">
        <f>Churn_part[[#This Row],[Facture_Mensuelle]]*Churn_part[[#This Row],[Remise Client]]</f>
        <v>0</v>
      </c>
    </row>
    <row r="276" spans="1:10" x14ac:dyDescent="0.3">
      <c r="A276" t="s">
        <v>312</v>
      </c>
      <c r="B276" t="s">
        <v>125</v>
      </c>
      <c r="C276">
        <v>66</v>
      </c>
      <c r="D276" t="s">
        <v>10</v>
      </c>
      <c r="E276" t="str">
        <f>IF(Churn_part[[#This Row],[Type_Forfait]]="Pro Monde", "B2B", "B2C")</f>
        <v>B2C</v>
      </c>
      <c r="F276">
        <v>193</v>
      </c>
      <c r="G276" s="8">
        <v>21.06</v>
      </c>
      <c r="H276">
        <v>3</v>
      </c>
      <c r="I27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76" s="8">
        <f>Churn_part[[#This Row],[Facture_Mensuelle]]*Churn_part[[#This Row],[Remise Client]]</f>
        <v>0</v>
      </c>
    </row>
    <row r="277" spans="1:10" x14ac:dyDescent="0.3">
      <c r="A277" t="s">
        <v>313</v>
      </c>
      <c r="B277" t="s">
        <v>34</v>
      </c>
      <c r="C277">
        <v>91</v>
      </c>
      <c r="D277" t="s">
        <v>21</v>
      </c>
      <c r="E277" t="str">
        <f>IF(Churn_part[[#This Row],[Type_Forfait]]="Pro Monde", "B2B", "B2C")</f>
        <v>B2C</v>
      </c>
      <c r="F277">
        <v>63</v>
      </c>
      <c r="G277" s="8">
        <v>57.76</v>
      </c>
      <c r="H277">
        <v>5</v>
      </c>
      <c r="I27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77" s="8">
        <f>Churn_part[[#This Row],[Facture_Mensuelle]]*Churn_part[[#This Row],[Remise Client]]</f>
        <v>0</v>
      </c>
    </row>
    <row r="278" spans="1:10" x14ac:dyDescent="0.3">
      <c r="A278" t="s">
        <v>314</v>
      </c>
      <c r="B278" t="s">
        <v>129</v>
      </c>
      <c r="C278">
        <v>63</v>
      </c>
      <c r="D278" t="s">
        <v>13</v>
      </c>
      <c r="E278" t="str">
        <f>IF(Churn_part[[#This Row],[Type_Forfait]]="Pro Monde", "B2B", "B2C")</f>
        <v>B2B</v>
      </c>
      <c r="F278">
        <v>141</v>
      </c>
      <c r="G278" s="8">
        <v>95.6</v>
      </c>
      <c r="H278">
        <v>4</v>
      </c>
      <c r="I27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78" s="8">
        <f>Churn_part[[#This Row],[Facture_Mensuelle]]*Churn_part[[#This Row],[Remise Client]]</f>
        <v>9.56</v>
      </c>
    </row>
    <row r="279" spans="1:10" x14ac:dyDescent="0.3">
      <c r="A279" t="s">
        <v>315</v>
      </c>
      <c r="B279" t="s">
        <v>59</v>
      </c>
      <c r="C279">
        <v>82</v>
      </c>
      <c r="D279" t="s">
        <v>10</v>
      </c>
      <c r="E279" t="str">
        <f>IF(Churn_part[[#This Row],[Type_Forfait]]="Pro Monde", "B2B", "B2C")</f>
        <v>B2C</v>
      </c>
      <c r="F279">
        <v>32</v>
      </c>
      <c r="G279" s="8">
        <v>77.63</v>
      </c>
      <c r="H279">
        <v>1</v>
      </c>
      <c r="I27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79" s="8">
        <f>Churn_part[[#This Row],[Facture_Mensuelle]]*Churn_part[[#This Row],[Remise Client]]</f>
        <v>0</v>
      </c>
    </row>
    <row r="280" spans="1:10" x14ac:dyDescent="0.3">
      <c r="A280" t="s">
        <v>316</v>
      </c>
      <c r="B280" t="s">
        <v>30</v>
      </c>
      <c r="C280">
        <v>89</v>
      </c>
      <c r="D280" t="s">
        <v>18</v>
      </c>
      <c r="E280" t="str">
        <f>IF(Churn_part[[#This Row],[Type_Forfait]]="Pro Monde", "B2B", "B2C")</f>
        <v>B2C</v>
      </c>
      <c r="F280">
        <v>175</v>
      </c>
      <c r="G280" s="8">
        <v>32.369999999999997</v>
      </c>
      <c r="H280">
        <v>1</v>
      </c>
      <c r="I28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80" s="8">
        <f>Churn_part[[#This Row],[Facture_Mensuelle]]*Churn_part[[#This Row],[Remise Client]]</f>
        <v>0</v>
      </c>
    </row>
    <row r="281" spans="1:10" x14ac:dyDescent="0.3">
      <c r="A281" t="s">
        <v>317</v>
      </c>
      <c r="B281" t="s">
        <v>25</v>
      </c>
      <c r="C281">
        <v>48</v>
      </c>
      <c r="D281" t="s">
        <v>21</v>
      </c>
      <c r="E281" t="str">
        <f>IF(Churn_part[[#This Row],[Type_Forfait]]="Pro Monde", "B2B", "B2C")</f>
        <v>B2C</v>
      </c>
      <c r="F281">
        <v>15</v>
      </c>
      <c r="G281" s="8">
        <v>50.67</v>
      </c>
      <c r="H281">
        <v>1</v>
      </c>
      <c r="I28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81" s="8">
        <f>Churn_part[[#This Row],[Facture_Mensuelle]]*Churn_part[[#This Row],[Remise Client]]</f>
        <v>0</v>
      </c>
    </row>
    <row r="282" spans="1:10" x14ac:dyDescent="0.3">
      <c r="A282" t="s">
        <v>318</v>
      </c>
      <c r="B282" t="s">
        <v>39</v>
      </c>
      <c r="C282">
        <v>90</v>
      </c>
      <c r="D282" t="s">
        <v>13</v>
      </c>
      <c r="E282" t="str">
        <f>IF(Churn_part[[#This Row],[Type_Forfait]]="Pro Monde", "B2B", "B2C")</f>
        <v>B2B</v>
      </c>
      <c r="F282">
        <v>299</v>
      </c>
      <c r="G282" s="8">
        <v>71.760000000000005</v>
      </c>
      <c r="H282">
        <v>1</v>
      </c>
      <c r="I28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82" s="8">
        <f>Churn_part[[#This Row],[Facture_Mensuelle]]*Churn_part[[#This Row],[Remise Client]]</f>
        <v>7.176000000000001</v>
      </c>
    </row>
    <row r="283" spans="1:10" x14ac:dyDescent="0.3">
      <c r="A283" t="s">
        <v>319</v>
      </c>
      <c r="B283" t="s">
        <v>77</v>
      </c>
      <c r="C283">
        <v>8</v>
      </c>
      <c r="D283" t="s">
        <v>18</v>
      </c>
      <c r="E283" t="str">
        <f>IF(Churn_part[[#This Row],[Type_Forfait]]="Pro Monde", "B2B", "B2C")</f>
        <v>B2C</v>
      </c>
      <c r="F283">
        <v>120</v>
      </c>
      <c r="G283" s="8">
        <v>88.29</v>
      </c>
      <c r="H283">
        <v>5</v>
      </c>
      <c r="I28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83" s="8">
        <f>Churn_part[[#This Row],[Facture_Mensuelle]]*Churn_part[[#This Row],[Remise Client]]</f>
        <v>0</v>
      </c>
    </row>
    <row r="284" spans="1:10" x14ac:dyDescent="0.3">
      <c r="A284" t="s">
        <v>320</v>
      </c>
      <c r="B284" t="s">
        <v>43</v>
      </c>
      <c r="C284">
        <v>84</v>
      </c>
      <c r="D284" t="s">
        <v>18</v>
      </c>
      <c r="E284" t="str">
        <f>IF(Churn_part[[#This Row],[Type_Forfait]]="Pro Monde", "B2B", "B2C")</f>
        <v>B2C</v>
      </c>
      <c r="F284">
        <v>244</v>
      </c>
      <c r="G284" s="8">
        <v>56.34</v>
      </c>
      <c r="H284">
        <v>5</v>
      </c>
      <c r="I28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84" s="8">
        <f>Churn_part[[#This Row],[Facture_Mensuelle]]*Churn_part[[#This Row],[Remise Client]]</f>
        <v>25.353000000000002</v>
      </c>
    </row>
    <row r="285" spans="1:10" x14ac:dyDescent="0.3">
      <c r="A285" t="s">
        <v>321</v>
      </c>
      <c r="B285" t="s">
        <v>36</v>
      </c>
      <c r="C285">
        <v>50</v>
      </c>
      <c r="D285" t="s">
        <v>18</v>
      </c>
      <c r="E285" t="str">
        <f>IF(Churn_part[[#This Row],[Type_Forfait]]="Pro Monde", "B2B", "B2C")</f>
        <v>B2C</v>
      </c>
      <c r="F285">
        <v>248</v>
      </c>
      <c r="G285" s="8">
        <v>69.42</v>
      </c>
      <c r="H285">
        <v>0</v>
      </c>
      <c r="I28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85" s="8">
        <f>Churn_part[[#This Row],[Facture_Mensuelle]]*Churn_part[[#This Row],[Remise Client]]</f>
        <v>31.239000000000001</v>
      </c>
    </row>
    <row r="286" spans="1:10" x14ac:dyDescent="0.3">
      <c r="A286" t="s">
        <v>322</v>
      </c>
      <c r="B286" t="s">
        <v>25</v>
      </c>
      <c r="C286">
        <v>119</v>
      </c>
      <c r="D286" t="s">
        <v>13</v>
      </c>
      <c r="E286" t="str">
        <f>IF(Churn_part[[#This Row],[Type_Forfait]]="Pro Monde", "B2B", "B2C")</f>
        <v>B2B</v>
      </c>
      <c r="F286">
        <v>344</v>
      </c>
      <c r="G286" s="8">
        <v>10.28</v>
      </c>
      <c r="H286">
        <v>0</v>
      </c>
      <c r="I28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86" s="8">
        <f>Churn_part[[#This Row],[Facture_Mensuelle]]*Churn_part[[#This Row],[Remise Client]]</f>
        <v>1.028</v>
      </c>
    </row>
    <row r="287" spans="1:10" x14ac:dyDescent="0.3">
      <c r="A287" t="s">
        <v>323</v>
      </c>
      <c r="B287" t="s">
        <v>32</v>
      </c>
      <c r="C287">
        <v>55</v>
      </c>
      <c r="D287" t="s">
        <v>13</v>
      </c>
      <c r="E287" t="str">
        <f>IF(Churn_part[[#This Row],[Type_Forfait]]="Pro Monde", "B2B", "B2C")</f>
        <v>B2B</v>
      </c>
      <c r="F287">
        <v>389</v>
      </c>
      <c r="G287" s="8">
        <v>67.430000000000007</v>
      </c>
      <c r="H287">
        <v>3</v>
      </c>
      <c r="I28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87" s="8">
        <f>Churn_part[[#This Row],[Facture_Mensuelle]]*Churn_part[[#This Row],[Remise Client]]</f>
        <v>6.7430000000000012</v>
      </c>
    </row>
    <row r="288" spans="1:10" x14ac:dyDescent="0.3">
      <c r="A288" t="s">
        <v>324</v>
      </c>
      <c r="B288" t="s">
        <v>43</v>
      </c>
      <c r="C288">
        <v>95</v>
      </c>
      <c r="D288" t="s">
        <v>10</v>
      </c>
      <c r="E288" t="str">
        <f>IF(Churn_part[[#This Row],[Type_Forfait]]="Pro Monde", "B2B", "B2C")</f>
        <v>B2C</v>
      </c>
      <c r="F288">
        <v>51</v>
      </c>
      <c r="G288" s="8">
        <v>94.77</v>
      </c>
      <c r="H288">
        <v>5</v>
      </c>
      <c r="I28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88" s="8">
        <f>Churn_part[[#This Row],[Facture_Mensuelle]]*Churn_part[[#This Row],[Remise Client]]</f>
        <v>0</v>
      </c>
    </row>
    <row r="289" spans="1:10" x14ac:dyDescent="0.3">
      <c r="A289" t="s">
        <v>325</v>
      </c>
      <c r="B289" t="s">
        <v>32</v>
      </c>
      <c r="C289">
        <v>32</v>
      </c>
      <c r="D289" t="s">
        <v>13</v>
      </c>
      <c r="E289" t="str">
        <f>IF(Churn_part[[#This Row],[Type_Forfait]]="Pro Monde", "B2B", "B2C")</f>
        <v>B2B</v>
      </c>
      <c r="F289">
        <v>4</v>
      </c>
      <c r="G289" s="8">
        <v>39</v>
      </c>
      <c r="H289">
        <v>0</v>
      </c>
      <c r="I28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89" s="8">
        <f>Churn_part[[#This Row],[Facture_Mensuelle]]*Churn_part[[#This Row],[Remise Client]]</f>
        <v>3.9000000000000004</v>
      </c>
    </row>
    <row r="290" spans="1:10" x14ac:dyDescent="0.3">
      <c r="A290" t="s">
        <v>326</v>
      </c>
      <c r="B290" t="s">
        <v>63</v>
      </c>
      <c r="C290">
        <v>32</v>
      </c>
      <c r="D290" t="s">
        <v>21</v>
      </c>
      <c r="E290" t="str">
        <f>IF(Churn_part[[#This Row],[Type_Forfait]]="Pro Monde", "B2B", "B2C")</f>
        <v>B2C</v>
      </c>
      <c r="F290">
        <v>31</v>
      </c>
      <c r="G290" s="8">
        <v>67.040000000000006</v>
      </c>
      <c r="H290">
        <v>1</v>
      </c>
      <c r="I29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90" s="8">
        <f>Churn_part[[#This Row],[Facture_Mensuelle]]*Churn_part[[#This Row],[Remise Client]]</f>
        <v>0</v>
      </c>
    </row>
    <row r="291" spans="1:10" x14ac:dyDescent="0.3">
      <c r="A291" t="s">
        <v>327</v>
      </c>
      <c r="B291" t="s">
        <v>63</v>
      </c>
      <c r="C291">
        <v>62</v>
      </c>
      <c r="D291" t="s">
        <v>21</v>
      </c>
      <c r="E291" t="str">
        <f>IF(Churn_part[[#This Row],[Type_Forfait]]="Pro Monde", "B2B", "B2C")</f>
        <v>B2C</v>
      </c>
      <c r="F291">
        <v>136</v>
      </c>
      <c r="G291" s="8">
        <v>88.61</v>
      </c>
      <c r="H291">
        <v>2</v>
      </c>
      <c r="I29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91" s="8">
        <f>Churn_part[[#This Row],[Facture_Mensuelle]]*Churn_part[[#This Row],[Remise Client]]</f>
        <v>0</v>
      </c>
    </row>
    <row r="292" spans="1:10" x14ac:dyDescent="0.3">
      <c r="A292" t="s">
        <v>328</v>
      </c>
      <c r="B292" t="s">
        <v>72</v>
      </c>
      <c r="C292">
        <v>5</v>
      </c>
      <c r="D292" t="s">
        <v>10</v>
      </c>
      <c r="E292" t="str">
        <f>IF(Churn_part[[#This Row],[Type_Forfait]]="Pro Monde", "B2B", "B2C")</f>
        <v>B2C</v>
      </c>
      <c r="F292">
        <v>384</v>
      </c>
      <c r="G292" s="8">
        <v>97.26</v>
      </c>
      <c r="H292">
        <v>3</v>
      </c>
      <c r="I29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92" s="8">
        <f>Churn_part[[#This Row],[Facture_Mensuelle]]*Churn_part[[#This Row],[Remise Client]]</f>
        <v>43.767000000000003</v>
      </c>
    </row>
    <row r="293" spans="1:10" x14ac:dyDescent="0.3">
      <c r="A293" t="s">
        <v>329</v>
      </c>
      <c r="B293" t="s">
        <v>17</v>
      </c>
      <c r="C293">
        <v>118</v>
      </c>
      <c r="D293" t="s">
        <v>21</v>
      </c>
      <c r="E293" t="str">
        <f>IF(Churn_part[[#This Row],[Type_Forfait]]="Pro Monde", "B2B", "B2C")</f>
        <v>B2C</v>
      </c>
      <c r="F293">
        <v>489</v>
      </c>
      <c r="G293" s="8">
        <v>76.22</v>
      </c>
      <c r="H293">
        <v>2</v>
      </c>
      <c r="I29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93" s="8">
        <f>Churn_part[[#This Row],[Facture_Mensuelle]]*Churn_part[[#This Row],[Remise Client]]</f>
        <v>34.298999999999999</v>
      </c>
    </row>
    <row r="294" spans="1:10" x14ac:dyDescent="0.3">
      <c r="A294" t="s">
        <v>330</v>
      </c>
      <c r="B294" t="s">
        <v>17</v>
      </c>
      <c r="C294">
        <v>105</v>
      </c>
      <c r="D294" t="s">
        <v>21</v>
      </c>
      <c r="E294" t="str">
        <f>IF(Churn_part[[#This Row],[Type_Forfait]]="Pro Monde", "B2B", "B2C")</f>
        <v>B2C</v>
      </c>
      <c r="F294">
        <v>3</v>
      </c>
      <c r="G294" s="8">
        <v>71.010000000000005</v>
      </c>
      <c r="H294">
        <v>1</v>
      </c>
      <c r="I29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94" s="8">
        <f>Churn_part[[#This Row],[Facture_Mensuelle]]*Churn_part[[#This Row],[Remise Client]]</f>
        <v>0</v>
      </c>
    </row>
    <row r="295" spans="1:10" x14ac:dyDescent="0.3">
      <c r="A295" t="s">
        <v>331</v>
      </c>
      <c r="B295" t="s">
        <v>20</v>
      </c>
      <c r="C295">
        <v>47</v>
      </c>
      <c r="D295" t="s">
        <v>21</v>
      </c>
      <c r="E295" t="str">
        <f>IF(Churn_part[[#This Row],[Type_Forfait]]="Pro Monde", "B2B", "B2C")</f>
        <v>B2C</v>
      </c>
      <c r="F295">
        <v>340</v>
      </c>
      <c r="G295" s="8">
        <v>31.02</v>
      </c>
      <c r="H295">
        <v>5</v>
      </c>
      <c r="I29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95" s="8">
        <f>Churn_part[[#This Row],[Facture_Mensuelle]]*Churn_part[[#This Row],[Remise Client]]</f>
        <v>13.959</v>
      </c>
    </row>
    <row r="296" spans="1:10" x14ac:dyDescent="0.3">
      <c r="A296" t="s">
        <v>332</v>
      </c>
      <c r="B296" t="s">
        <v>25</v>
      </c>
      <c r="C296">
        <v>81</v>
      </c>
      <c r="D296" t="s">
        <v>13</v>
      </c>
      <c r="E296" t="str">
        <f>IF(Churn_part[[#This Row],[Type_Forfait]]="Pro Monde", "B2B", "B2C")</f>
        <v>B2B</v>
      </c>
      <c r="F296">
        <v>298</v>
      </c>
      <c r="G296" s="8">
        <v>53.61</v>
      </c>
      <c r="H296">
        <v>2</v>
      </c>
      <c r="I29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96" s="8">
        <f>Churn_part[[#This Row],[Facture_Mensuelle]]*Churn_part[[#This Row],[Remise Client]]</f>
        <v>5.3610000000000007</v>
      </c>
    </row>
    <row r="297" spans="1:10" x14ac:dyDescent="0.3">
      <c r="A297" t="s">
        <v>333</v>
      </c>
      <c r="B297" t="s">
        <v>129</v>
      </c>
      <c r="C297">
        <v>91</v>
      </c>
      <c r="D297" t="s">
        <v>21</v>
      </c>
      <c r="E297" t="str">
        <f>IF(Churn_part[[#This Row],[Type_Forfait]]="Pro Monde", "B2B", "B2C")</f>
        <v>B2C</v>
      </c>
      <c r="F297">
        <v>404</v>
      </c>
      <c r="G297" s="8">
        <v>76.53</v>
      </c>
      <c r="H297">
        <v>5</v>
      </c>
      <c r="I29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297" s="8">
        <f>Churn_part[[#This Row],[Facture_Mensuelle]]*Churn_part[[#This Row],[Remise Client]]</f>
        <v>34.438500000000005</v>
      </c>
    </row>
    <row r="298" spans="1:10" x14ac:dyDescent="0.3">
      <c r="A298" t="s">
        <v>334</v>
      </c>
      <c r="B298" t="s">
        <v>9</v>
      </c>
      <c r="C298">
        <v>87</v>
      </c>
      <c r="D298" t="s">
        <v>18</v>
      </c>
      <c r="E298" t="str">
        <f>IF(Churn_part[[#This Row],[Type_Forfait]]="Pro Monde", "B2B", "B2C")</f>
        <v>B2C</v>
      </c>
      <c r="F298">
        <v>21</v>
      </c>
      <c r="G298" s="8">
        <v>81.459999999999994</v>
      </c>
      <c r="H298">
        <v>3</v>
      </c>
      <c r="I29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298" s="8">
        <f>Churn_part[[#This Row],[Facture_Mensuelle]]*Churn_part[[#This Row],[Remise Client]]</f>
        <v>0</v>
      </c>
    </row>
    <row r="299" spans="1:10" x14ac:dyDescent="0.3">
      <c r="A299" t="s">
        <v>335</v>
      </c>
      <c r="B299" t="s">
        <v>129</v>
      </c>
      <c r="C299">
        <v>4</v>
      </c>
      <c r="D299" t="s">
        <v>13</v>
      </c>
      <c r="E299" t="str">
        <f>IF(Churn_part[[#This Row],[Type_Forfait]]="Pro Monde", "B2B", "B2C")</f>
        <v>B2B</v>
      </c>
      <c r="F299">
        <v>49</v>
      </c>
      <c r="G299" s="8">
        <v>41.35</v>
      </c>
      <c r="H299">
        <v>5</v>
      </c>
      <c r="I29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299" s="8">
        <f>Churn_part[[#This Row],[Facture_Mensuelle]]*Churn_part[[#This Row],[Remise Client]]</f>
        <v>4.1350000000000007</v>
      </c>
    </row>
    <row r="300" spans="1:10" x14ac:dyDescent="0.3">
      <c r="A300" t="s">
        <v>336</v>
      </c>
      <c r="B300" t="s">
        <v>15</v>
      </c>
      <c r="C300">
        <v>76</v>
      </c>
      <c r="D300" t="s">
        <v>18</v>
      </c>
      <c r="E300" t="str">
        <f>IF(Churn_part[[#This Row],[Type_Forfait]]="Pro Monde", "B2B", "B2C")</f>
        <v>B2C</v>
      </c>
      <c r="F300">
        <v>192</v>
      </c>
      <c r="G300" s="8">
        <v>68.53</v>
      </c>
      <c r="H300">
        <v>0</v>
      </c>
      <c r="I30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00" s="8">
        <f>Churn_part[[#This Row],[Facture_Mensuelle]]*Churn_part[[#This Row],[Remise Client]]</f>
        <v>0</v>
      </c>
    </row>
    <row r="301" spans="1:10" x14ac:dyDescent="0.3">
      <c r="A301" t="s">
        <v>337</v>
      </c>
      <c r="B301" t="s">
        <v>17</v>
      </c>
      <c r="C301">
        <v>69</v>
      </c>
      <c r="D301" t="s">
        <v>10</v>
      </c>
      <c r="E301" t="str">
        <f>IF(Churn_part[[#This Row],[Type_Forfait]]="Pro Monde", "B2B", "B2C")</f>
        <v>B2C</v>
      </c>
      <c r="F301">
        <v>486</v>
      </c>
      <c r="G301" s="8">
        <v>34.770000000000003</v>
      </c>
      <c r="H301">
        <v>0</v>
      </c>
      <c r="I30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01" s="8">
        <f>Churn_part[[#This Row],[Facture_Mensuelle]]*Churn_part[[#This Row],[Remise Client]]</f>
        <v>15.646500000000001</v>
      </c>
    </row>
    <row r="302" spans="1:10" x14ac:dyDescent="0.3">
      <c r="A302" t="s">
        <v>338</v>
      </c>
      <c r="B302" t="s">
        <v>25</v>
      </c>
      <c r="C302">
        <v>25</v>
      </c>
      <c r="D302" t="s">
        <v>13</v>
      </c>
      <c r="E302" t="str">
        <f>IF(Churn_part[[#This Row],[Type_Forfait]]="Pro Monde", "B2B", "B2C")</f>
        <v>B2B</v>
      </c>
      <c r="F302">
        <v>218</v>
      </c>
      <c r="G302" s="8">
        <v>68.790000000000006</v>
      </c>
      <c r="H302">
        <v>0</v>
      </c>
      <c r="I30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02" s="8">
        <f>Churn_part[[#This Row],[Facture_Mensuelle]]*Churn_part[[#This Row],[Remise Client]]</f>
        <v>6.8790000000000013</v>
      </c>
    </row>
    <row r="303" spans="1:10" x14ac:dyDescent="0.3">
      <c r="A303" t="s">
        <v>339</v>
      </c>
      <c r="B303" t="s">
        <v>39</v>
      </c>
      <c r="C303">
        <v>109</v>
      </c>
      <c r="D303" t="s">
        <v>21</v>
      </c>
      <c r="E303" t="str">
        <f>IF(Churn_part[[#This Row],[Type_Forfait]]="Pro Monde", "B2B", "B2C")</f>
        <v>B2C</v>
      </c>
      <c r="F303">
        <v>347</v>
      </c>
      <c r="G303" s="8">
        <v>43.06</v>
      </c>
      <c r="H303">
        <v>4</v>
      </c>
      <c r="I30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03" s="8">
        <f>Churn_part[[#This Row],[Facture_Mensuelle]]*Churn_part[[#This Row],[Remise Client]]</f>
        <v>19.377000000000002</v>
      </c>
    </row>
    <row r="304" spans="1:10" x14ac:dyDescent="0.3">
      <c r="A304" t="s">
        <v>340</v>
      </c>
      <c r="B304" t="s">
        <v>23</v>
      </c>
      <c r="C304">
        <v>50</v>
      </c>
      <c r="D304" t="s">
        <v>13</v>
      </c>
      <c r="E304" t="str">
        <f>IF(Churn_part[[#This Row],[Type_Forfait]]="Pro Monde", "B2B", "B2C")</f>
        <v>B2B</v>
      </c>
      <c r="F304">
        <v>430</v>
      </c>
      <c r="G304" s="8">
        <v>20.8</v>
      </c>
      <c r="H304">
        <v>2</v>
      </c>
      <c r="I30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04" s="8">
        <f>Churn_part[[#This Row],[Facture_Mensuelle]]*Churn_part[[#This Row],[Remise Client]]</f>
        <v>2.08</v>
      </c>
    </row>
    <row r="305" spans="1:10" x14ac:dyDescent="0.3">
      <c r="A305" t="s">
        <v>341</v>
      </c>
      <c r="B305" t="s">
        <v>36</v>
      </c>
      <c r="C305">
        <v>55</v>
      </c>
      <c r="D305" t="s">
        <v>10</v>
      </c>
      <c r="E305" t="str">
        <f>IF(Churn_part[[#This Row],[Type_Forfait]]="Pro Monde", "B2B", "B2C")</f>
        <v>B2C</v>
      </c>
      <c r="F305">
        <v>86</v>
      </c>
      <c r="G305" s="8">
        <v>17.440000000000001</v>
      </c>
      <c r="H305">
        <v>2</v>
      </c>
      <c r="I30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05" s="8">
        <f>Churn_part[[#This Row],[Facture_Mensuelle]]*Churn_part[[#This Row],[Remise Client]]</f>
        <v>0</v>
      </c>
    </row>
    <row r="306" spans="1:10" x14ac:dyDescent="0.3">
      <c r="A306" t="s">
        <v>342</v>
      </c>
      <c r="B306" t="s">
        <v>77</v>
      </c>
      <c r="C306">
        <v>41</v>
      </c>
      <c r="D306" t="s">
        <v>13</v>
      </c>
      <c r="E306" t="str">
        <f>IF(Churn_part[[#This Row],[Type_Forfait]]="Pro Monde", "B2B", "B2C")</f>
        <v>B2B</v>
      </c>
      <c r="F306">
        <v>474</v>
      </c>
      <c r="G306" s="8">
        <v>54.03</v>
      </c>
      <c r="H306">
        <v>4</v>
      </c>
      <c r="I30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06" s="8">
        <f>Churn_part[[#This Row],[Facture_Mensuelle]]*Churn_part[[#This Row],[Remise Client]]</f>
        <v>5.4030000000000005</v>
      </c>
    </row>
    <row r="307" spans="1:10" x14ac:dyDescent="0.3">
      <c r="A307" t="s">
        <v>343</v>
      </c>
      <c r="B307" t="s">
        <v>56</v>
      </c>
      <c r="C307">
        <v>99</v>
      </c>
      <c r="D307" t="s">
        <v>18</v>
      </c>
      <c r="E307" t="str">
        <f>IF(Churn_part[[#This Row],[Type_Forfait]]="Pro Monde", "B2B", "B2C")</f>
        <v>B2C</v>
      </c>
      <c r="F307">
        <v>28</v>
      </c>
      <c r="G307" s="8">
        <v>70.19</v>
      </c>
      <c r="H307">
        <v>1</v>
      </c>
      <c r="I30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07" s="8">
        <f>Churn_part[[#This Row],[Facture_Mensuelle]]*Churn_part[[#This Row],[Remise Client]]</f>
        <v>0</v>
      </c>
    </row>
    <row r="308" spans="1:10" x14ac:dyDescent="0.3">
      <c r="A308" t="s">
        <v>344</v>
      </c>
      <c r="B308" t="s">
        <v>87</v>
      </c>
      <c r="C308">
        <v>47</v>
      </c>
      <c r="D308" t="s">
        <v>10</v>
      </c>
      <c r="E308" t="str">
        <f>IF(Churn_part[[#This Row],[Type_Forfait]]="Pro Monde", "B2B", "B2C")</f>
        <v>B2C</v>
      </c>
      <c r="F308">
        <v>49</v>
      </c>
      <c r="G308" s="8">
        <v>55.88</v>
      </c>
      <c r="H308">
        <v>3</v>
      </c>
      <c r="I30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08" s="8">
        <f>Churn_part[[#This Row],[Facture_Mensuelle]]*Churn_part[[#This Row],[Remise Client]]</f>
        <v>0</v>
      </c>
    </row>
    <row r="309" spans="1:10" x14ac:dyDescent="0.3">
      <c r="A309" t="s">
        <v>345</v>
      </c>
      <c r="B309" t="s">
        <v>135</v>
      </c>
      <c r="C309">
        <v>103</v>
      </c>
      <c r="D309" t="s">
        <v>21</v>
      </c>
      <c r="E309" t="str">
        <f>IF(Churn_part[[#This Row],[Type_Forfait]]="Pro Monde", "B2B", "B2C")</f>
        <v>B2C</v>
      </c>
      <c r="F309">
        <v>182</v>
      </c>
      <c r="G309" s="8">
        <v>12.07</v>
      </c>
      <c r="H309">
        <v>5</v>
      </c>
      <c r="I30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09" s="8">
        <f>Churn_part[[#This Row],[Facture_Mensuelle]]*Churn_part[[#This Row],[Remise Client]]</f>
        <v>0</v>
      </c>
    </row>
    <row r="310" spans="1:10" x14ac:dyDescent="0.3">
      <c r="A310" t="s">
        <v>346</v>
      </c>
      <c r="B310" t="s">
        <v>30</v>
      </c>
      <c r="C310">
        <v>87</v>
      </c>
      <c r="D310" t="s">
        <v>21</v>
      </c>
      <c r="E310" t="str">
        <f>IF(Churn_part[[#This Row],[Type_Forfait]]="Pro Monde", "B2B", "B2C")</f>
        <v>B2C</v>
      </c>
      <c r="F310">
        <v>498</v>
      </c>
      <c r="G310" s="8">
        <v>61.57</v>
      </c>
      <c r="H310">
        <v>0</v>
      </c>
      <c r="I31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10" s="8">
        <f>Churn_part[[#This Row],[Facture_Mensuelle]]*Churn_part[[#This Row],[Remise Client]]</f>
        <v>27.706500000000002</v>
      </c>
    </row>
    <row r="311" spans="1:10" x14ac:dyDescent="0.3">
      <c r="A311" t="s">
        <v>347</v>
      </c>
      <c r="B311" t="s">
        <v>39</v>
      </c>
      <c r="C311">
        <v>120</v>
      </c>
      <c r="D311" t="s">
        <v>21</v>
      </c>
      <c r="E311" t="str">
        <f>IF(Churn_part[[#This Row],[Type_Forfait]]="Pro Monde", "B2B", "B2C")</f>
        <v>B2C</v>
      </c>
      <c r="F311">
        <v>242</v>
      </c>
      <c r="G311" s="8">
        <v>61.54</v>
      </c>
      <c r="H311">
        <v>1</v>
      </c>
      <c r="I31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11" s="8">
        <f>Churn_part[[#This Row],[Facture_Mensuelle]]*Churn_part[[#This Row],[Remise Client]]</f>
        <v>27.693000000000001</v>
      </c>
    </row>
    <row r="312" spans="1:10" x14ac:dyDescent="0.3">
      <c r="A312" t="s">
        <v>348</v>
      </c>
      <c r="B312" t="s">
        <v>15</v>
      </c>
      <c r="C312">
        <v>102</v>
      </c>
      <c r="D312" t="s">
        <v>18</v>
      </c>
      <c r="E312" t="str">
        <f>IF(Churn_part[[#This Row],[Type_Forfait]]="Pro Monde", "B2B", "B2C")</f>
        <v>B2C</v>
      </c>
      <c r="F312">
        <v>91</v>
      </c>
      <c r="G312" s="8">
        <v>34.64</v>
      </c>
      <c r="H312">
        <v>2</v>
      </c>
      <c r="I31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12" s="8">
        <f>Churn_part[[#This Row],[Facture_Mensuelle]]*Churn_part[[#This Row],[Remise Client]]</f>
        <v>0</v>
      </c>
    </row>
    <row r="313" spans="1:10" x14ac:dyDescent="0.3">
      <c r="A313" t="s">
        <v>349</v>
      </c>
      <c r="B313" t="s">
        <v>77</v>
      </c>
      <c r="C313">
        <v>17</v>
      </c>
      <c r="D313" t="s">
        <v>21</v>
      </c>
      <c r="E313" t="str">
        <f>IF(Churn_part[[#This Row],[Type_Forfait]]="Pro Monde", "B2B", "B2C")</f>
        <v>B2C</v>
      </c>
      <c r="F313">
        <v>483</v>
      </c>
      <c r="G313" s="8">
        <v>77.08</v>
      </c>
      <c r="H313">
        <v>0</v>
      </c>
      <c r="I31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13" s="8">
        <f>Churn_part[[#This Row],[Facture_Mensuelle]]*Churn_part[[#This Row],[Remise Client]]</f>
        <v>34.686</v>
      </c>
    </row>
    <row r="314" spans="1:10" x14ac:dyDescent="0.3">
      <c r="A314" t="s">
        <v>350</v>
      </c>
      <c r="B314" t="s">
        <v>129</v>
      </c>
      <c r="C314">
        <v>67</v>
      </c>
      <c r="D314" t="s">
        <v>13</v>
      </c>
      <c r="E314" t="str">
        <f>IF(Churn_part[[#This Row],[Type_Forfait]]="Pro Monde", "B2B", "B2C")</f>
        <v>B2B</v>
      </c>
      <c r="F314">
        <v>26</v>
      </c>
      <c r="G314" s="8">
        <v>81.489999999999995</v>
      </c>
      <c r="H314">
        <v>4</v>
      </c>
      <c r="I31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14" s="8">
        <f>Churn_part[[#This Row],[Facture_Mensuelle]]*Churn_part[[#This Row],[Remise Client]]</f>
        <v>8.1489999999999991</v>
      </c>
    </row>
    <row r="315" spans="1:10" x14ac:dyDescent="0.3">
      <c r="A315" t="s">
        <v>351</v>
      </c>
      <c r="B315" t="s">
        <v>36</v>
      </c>
      <c r="C315">
        <v>85</v>
      </c>
      <c r="D315" t="s">
        <v>13</v>
      </c>
      <c r="E315" t="str">
        <f>IF(Churn_part[[#This Row],[Type_Forfait]]="Pro Monde", "B2B", "B2C")</f>
        <v>B2B</v>
      </c>
      <c r="F315">
        <v>60</v>
      </c>
      <c r="G315" s="8">
        <v>26.3</v>
      </c>
      <c r="H315">
        <v>2</v>
      </c>
      <c r="I31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15" s="8">
        <f>Churn_part[[#This Row],[Facture_Mensuelle]]*Churn_part[[#This Row],[Remise Client]]</f>
        <v>2.6300000000000003</v>
      </c>
    </row>
    <row r="316" spans="1:10" x14ac:dyDescent="0.3">
      <c r="A316" t="s">
        <v>352</v>
      </c>
      <c r="B316" t="s">
        <v>17</v>
      </c>
      <c r="C316">
        <v>78</v>
      </c>
      <c r="D316" t="s">
        <v>10</v>
      </c>
      <c r="E316" t="str">
        <f>IF(Churn_part[[#This Row],[Type_Forfait]]="Pro Monde", "B2B", "B2C")</f>
        <v>B2C</v>
      </c>
      <c r="F316">
        <v>263</v>
      </c>
      <c r="G316" s="8">
        <v>53.58</v>
      </c>
      <c r="H316">
        <v>5</v>
      </c>
      <c r="I31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16" s="8">
        <f>Churn_part[[#This Row],[Facture_Mensuelle]]*Churn_part[[#This Row],[Remise Client]]</f>
        <v>24.111000000000001</v>
      </c>
    </row>
    <row r="317" spans="1:10" x14ac:dyDescent="0.3">
      <c r="A317" t="s">
        <v>353</v>
      </c>
      <c r="B317" t="s">
        <v>17</v>
      </c>
      <c r="C317">
        <v>76</v>
      </c>
      <c r="D317" t="s">
        <v>21</v>
      </c>
      <c r="E317" t="str">
        <f>IF(Churn_part[[#This Row],[Type_Forfait]]="Pro Monde", "B2B", "B2C")</f>
        <v>B2C</v>
      </c>
      <c r="F317">
        <v>332</v>
      </c>
      <c r="G317" s="8">
        <v>68.010000000000005</v>
      </c>
      <c r="H317">
        <v>4</v>
      </c>
      <c r="I31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17" s="8">
        <f>Churn_part[[#This Row],[Facture_Mensuelle]]*Churn_part[[#This Row],[Remise Client]]</f>
        <v>30.604500000000002</v>
      </c>
    </row>
    <row r="318" spans="1:10" x14ac:dyDescent="0.3">
      <c r="A318" t="s">
        <v>354</v>
      </c>
      <c r="B318" t="s">
        <v>17</v>
      </c>
      <c r="C318">
        <v>29</v>
      </c>
      <c r="D318" t="s">
        <v>18</v>
      </c>
      <c r="E318" t="str">
        <f>IF(Churn_part[[#This Row],[Type_Forfait]]="Pro Monde", "B2B", "B2C")</f>
        <v>B2C</v>
      </c>
      <c r="F318">
        <v>173</v>
      </c>
      <c r="G318" s="8">
        <v>49.03</v>
      </c>
      <c r="H318">
        <v>3</v>
      </c>
      <c r="I31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18" s="8">
        <f>Churn_part[[#This Row],[Facture_Mensuelle]]*Churn_part[[#This Row],[Remise Client]]</f>
        <v>0</v>
      </c>
    </row>
    <row r="319" spans="1:10" x14ac:dyDescent="0.3">
      <c r="A319" t="s">
        <v>355</v>
      </c>
      <c r="B319" t="s">
        <v>129</v>
      </c>
      <c r="C319">
        <v>14</v>
      </c>
      <c r="D319" t="s">
        <v>13</v>
      </c>
      <c r="E319" t="str">
        <f>IF(Churn_part[[#This Row],[Type_Forfait]]="Pro Monde", "B2B", "B2C")</f>
        <v>B2B</v>
      </c>
      <c r="F319">
        <v>303</v>
      </c>
      <c r="G319" s="8">
        <v>61.43</v>
      </c>
      <c r="H319">
        <v>1</v>
      </c>
      <c r="I31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19" s="8">
        <f>Churn_part[[#This Row],[Facture_Mensuelle]]*Churn_part[[#This Row],[Remise Client]]</f>
        <v>6.1430000000000007</v>
      </c>
    </row>
    <row r="320" spans="1:10" x14ac:dyDescent="0.3">
      <c r="A320" t="s">
        <v>356</v>
      </c>
      <c r="B320" t="s">
        <v>15</v>
      </c>
      <c r="C320">
        <v>51</v>
      </c>
      <c r="D320" t="s">
        <v>10</v>
      </c>
      <c r="E320" t="str">
        <f>IF(Churn_part[[#This Row],[Type_Forfait]]="Pro Monde", "B2B", "B2C")</f>
        <v>B2C</v>
      </c>
      <c r="F320">
        <v>222</v>
      </c>
      <c r="G320" s="8">
        <v>18.95</v>
      </c>
      <c r="H320">
        <v>4</v>
      </c>
      <c r="I32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20" s="8">
        <f>Churn_part[[#This Row],[Facture_Mensuelle]]*Churn_part[[#This Row],[Remise Client]]</f>
        <v>0</v>
      </c>
    </row>
    <row r="321" spans="1:10" x14ac:dyDescent="0.3">
      <c r="A321" t="s">
        <v>357</v>
      </c>
      <c r="B321" t="s">
        <v>15</v>
      </c>
      <c r="C321">
        <v>2</v>
      </c>
      <c r="D321" t="s">
        <v>13</v>
      </c>
      <c r="E321" t="str">
        <f>IF(Churn_part[[#This Row],[Type_Forfait]]="Pro Monde", "B2B", "B2C")</f>
        <v>B2B</v>
      </c>
      <c r="F321">
        <v>496</v>
      </c>
      <c r="G321" s="8">
        <v>15.71</v>
      </c>
      <c r="H321">
        <v>3</v>
      </c>
      <c r="I32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21" s="8">
        <f>Churn_part[[#This Row],[Facture_Mensuelle]]*Churn_part[[#This Row],[Remise Client]]</f>
        <v>1.5710000000000002</v>
      </c>
    </row>
    <row r="322" spans="1:10" x14ac:dyDescent="0.3">
      <c r="A322" t="s">
        <v>358</v>
      </c>
      <c r="B322" t="s">
        <v>23</v>
      </c>
      <c r="C322">
        <v>69</v>
      </c>
      <c r="D322" t="s">
        <v>13</v>
      </c>
      <c r="E322" t="str">
        <f>IF(Churn_part[[#This Row],[Type_Forfait]]="Pro Monde", "B2B", "B2C")</f>
        <v>B2B</v>
      </c>
      <c r="F322">
        <v>76</v>
      </c>
      <c r="G322" s="8">
        <v>91.8</v>
      </c>
      <c r="H322">
        <v>5</v>
      </c>
      <c r="I32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22" s="8">
        <f>Churn_part[[#This Row],[Facture_Mensuelle]]*Churn_part[[#This Row],[Remise Client]]</f>
        <v>9.18</v>
      </c>
    </row>
    <row r="323" spans="1:10" x14ac:dyDescent="0.3">
      <c r="A323" t="s">
        <v>359</v>
      </c>
      <c r="B323" t="s">
        <v>59</v>
      </c>
      <c r="C323">
        <v>110</v>
      </c>
      <c r="D323" t="s">
        <v>10</v>
      </c>
      <c r="E323" t="str">
        <f>IF(Churn_part[[#This Row],[Type_Forfait]]="Pro Monde", "B2B", "B2C")</f>
        <v>B2C</v>
      </c>
      <c r="F323">
        <v>321</v>
      </c>
      <c r="G323" s="8">
        <v>81.569999999999993</v>
      </c>
      <c r="H323">
        <v>2</v>
      </c>
      <c r="I32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23" s="8">
        <f>Churn_part[[#This Row],[Facture_Mensuelle]]*Churn_part[[#This Row],[Remise Client]]</f>
        <v>36.706499999999998</v>
      </c>
    </row>
    <row r="324" spans="1:10" x14ac:dyDescent="0.3">
      <c r="A324" t="s">
        <v>360</v>
      </c>
      <c r="B324" t="s">
        <v>9</v>
      </c>
      <c r="C324">
        <v>59</v>
      </c>
      <c r="D324" t="s">
        <v>13</v>
      </c>
      <c r="E324" t="str">
        <f>IF(Churn_part[[#This Row],[Type_Forfait]]="Pro Monde", "B2B", "B2C")</f>
        <v>B2B</v>
      </c>
      <c r="F324">
        <v>369</v>
      </c>
      <c r="G324" s="8">
        <v>26.64</v>
      </c>
      <c r="H324">
        <v>4</v>
      </c>
      <c r="I32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24" s="8">
        <f>Churn_part[[#This Row],[Facture_Mensuelle]]*Churn_part[[#This Row],[Remise Client]]</f>
        <v>2.6640000000000001</v>
      </c>
    </row>
    <row r="325" spans="1:10" x14ac:dyDescent="0.3">
      <c r="A325" t="s">
        <v>361</v>
      </c>
      <c r="B325" t="s">
        <v>23</v>
      </c>
      <c r="C325">
        <v>41</v>
      </c>
      <c r="D325" t="s">
        <v>13</v>
      </c>
      <c r="E325" t="str">
        <f>IF(Churn_part[[#This Row],[Type_Forfait]]="Pro Monde", "B2B", "B2C")</f>
        <v>B2B</v>
      </c>
      <c r="F325">
        <v>206</v>
      </c>
      <c r="G325" s="8">
        <v>83.16</v>
      </c>
      <c r="H325">
        <v>2</v>
      </c>
      <c r="I32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25" s="8">
        <f>Churn_part[[#This Row],[Facture_Mensuelle]]*Churn_part[[#This Row],[Remise Client]]</f>
        <v>8.3160000000000007</v>
      </c>
    </row>
    <row r="326" spans="1:10" x14ac:dyDescent="0.3">
      <c r="A326" t="s">
        <v>362</v>
      </c>
      <c r="B326" t="s">
        <v>56</v>
      </c>
      <c r="C326">
        <v>19</v>
      </c>
      <c r="D326" t="s">
        <v>18</v>
      </c>
      <c r="E326" t="str">
        <f>IF(Churn_part[[#This Row],[Type_Forfait]]="Pro Monde", "B2B", "B2C")</f>
        <v>B2C</v>
      </c>
      <c r="F326">
        <v>125</v>
      </c>
      <c r="G326" s="8">
        <v>11.78</v>
      </c>
      <c r="H326">
        <v>4</v>
      </c>
      <c r="I32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26" s="8">
        <f>Churn_part[[#This Row],[Facture_Mensuelle]]*Churn_part[[#This Row],[Remise Client]]</f>
        <v>0</v>
      </c>
    </row>
    <row r="327" spans="1:10" x14ac:dyDescent="0.3">
      <c r="A327" t="s">
        <v>363</v>
      </c>
      <c r="B327" t="s">
        <v>56</v>
      </c>
      <c r="C327">
        <v>105</v>
      </c>
      <c r="D327" t="s">
        <v>10</v>
      </c>
      <c r="E327" t="str">
        <f>IF(Churn_part[[#This Row],[Type_Forfait]]="Pro Monde", "B2B", "B2C")</f>
        <v>B2C</v>
      </c>
      <c r="F327">
        <v>17</v>
      </c>
      <c r="G327" s="8">
        <v>60.05</v>
      </c>
      <c r="H327">
        <v>4</v>
      </c>
      <c r="I32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27" s="8">
        <f>Churn_part[[#This Row],[Facture_Mensuelle]]*Churn_part[[#This Row],[Remise Client]]</f>
        <v>0</v>
      </c>
    </row>
    <row r="328" spans="1:10" x14ac:dyDescent="0.3">
      <c r="A328" t="s">
        <v>364</v>
      </c>
      <c r="B328" t="s">
        <v>66</v>
      </c>
      <c r="C328">
        <v>38</v>
      </c>
      <c r="D328" t="s">
        <v>10</v>
      </c>
      <c r="E328" t="str">
        <f>IF(Churn_part[[#This Row],[Type_Forfait]]="Pro Monde", "B2B", "B2C")</f>
        <v>B2C</v>
      </c>
      <c r="F328">
        <v>60</v>
      </c>
      <c r="G328" s="8">
        <v>58.28</v>
      </c>
      <c r="H328">
        <v>4</v>
      </c>
      <c r="I32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28" s="8">
        <f>Churn_part[[#This Row],[Facture_Mensuelle]]*Churn_part[[#This Row],[Remise Client]]</f>
        <v>0</v>
      </c>
    </row>
    <row r="329" spans="1:10" x14ac:dyDescent="0.3">
      <c r="A329" t="s">
        <v>365</v>
      </c>
      <c r="B329" t="s">
        <v>50</v>
      </c>
      <c r="C329">
        <v>108</v>
      </c>
      <c r="D329" t="s">
        <v>21</v>
      </c>
      <c r="E329" t="str">
        <f>IF(Churn_part[[#This Row],[Type_Forfait]]="Pro Monde", "B2B", "B2C")</f>
        <v>B2C</v>
      </c>
      <c r="F329">
        <v>123</v>
      </c>
      <c r="G329" s="8">
        <v>83.1</v>
      </c>
      <c r="H329">
        <v>1</v>
      </c>
      <c r="I32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29" s="8">
        <f>Churn_part[[#This Row],[Facture_Mensuelle]]*Churn_part[[#This Row],[Remise Client]]</f>
        <v>0</v>
      </c>
    </row>
    <row r="330" spans="1:10" x14ac:dyDescent="0.3">
      <c r="A330" t="s">
        <v>366</v>
      </c>
      <c r="B330" t="s">
        <v>34</v>
      </c>
      <c r="C330">
        <v>29</v>
      </c>
      <c r="D330" t="s">
        <v>13</v>
      </c>
      <c r="E330" t="str">
        <f>IF(Churn_part[[#This Row],[Type_Forfait]]="Pro Monde", "B2B", "B2C")</f>
        <v>B2B</v>
      </c>
      <c r="F330">
        <v>203</v>
      </c>
      <c r="G330" s="8">
        <v>53.97</v>
      </c>
      <c r="H330">
        <v>5</v>
      </c>
      <c r="I33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30" s="8">
        <f>Churn_part[[#This Row],[Facture_Mensuelle]]*Churn_part[[#This Row],[Remise Client]]</f>
        <v>5.3970000000000002</v>
      </c>
    </row>
    <row r="331" spans="1:10" x14ac:dyDescent="0.3">
      <c r="A331" t="s">
        <v>367</v>
      </c>
      <c r="B331" t="s">
        <v>39</v>
      </c>
      <c r="C331">
        <v>64</v>
      </c>
      <c r="D331" t="s">
        <v>18</v>
      </c>
      <c r="E331" t="str">
        <f>IF(Churn_part[[#This Row],[Type_Forfait]]="Pro Monde", "B2B", "B2C")</f>
        <v>B2C</v>
      </c>
      <c r="F331">
        <v>250</v>
      </c>
      <c r="G331" s="8">
        <v>56.7</v>
      </c>
      <c r="H331">
        <v>0</v>
      </c>
      <c r="I33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31" s="8">
        <f>Churn_part[[#This Row],[Facture_Mensuelle]]*Churn_part[[#This Row],[Remise Client]]</f>
        <v>25.515000000000001</v>
      </c>
    </row>
    <row r="332" spans="1:10" x14ac:dyDescent="0.3">
      <c r="A332" t="s">
        <v>368</v>
      </c>
      <c r="B332" t="s">
        <v>50</v>
      </c>
      <c r="C332">
        <v>88</v>
      </c>
      <c r="D332" t="s">
        <v>21</v>
      </c>
      <c r="E332" t="str">
        <f>IF(Churn_part[[#This Row],[Type_Forfait]]="Pro Monde", "B2B", "B2C")</f>
        <v>B2C</v>
      </c>
      <c r="F332">
        <v>154</v>
      </c>
      <c r="G332" s="8">
        <v>62.62</v>
      </c>
      <c r="H332">
        <v>5</v>
      </c>
      <c r="I33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32" s="8">
        <f>Churn_part[[#This Row],[Facture_Mensuelle]]*Churn_part[[#This Row],[Remise Client]]</f>
        <v>0</v>
      </c>
    </row>
    <row r="333" spans="1:10" x14ac:dyDescent="0.3">
      <c r="A333" t="s">
        <v>369</v>
      </c>
      <c r="B333" t="s">
        <v>39</v>
      </c>
      <c r="C333">
        <v>59</v>
      </c>
      <c r="D333" t="s">
        <v>10</v>
      </c>
      <c r="E333" t="str">
        <f>IF(Churn_part[[#This Row],[Type_Forfait]]="Pro Monde", "B2B", "B2C")</f>
        <v>B2C</v>
      </c>
      <c r="F333">
        <v>352</v>
      </c>
      <c r="G333" s="8">
        <v>74.239999999999995</v>
      </c>
      <c r="H333">
        <v>0</v>
      </c>
      <c r="I33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33" s="8">
        <f>Churn_part[[#This Row],[Facture_Mensuelle]]*Churn_part[[#This Row],[Remise Client]]</f>
        <v>33.408000000000001</v>
      </c>
    </row>
    <row r="334" spans="1:10" x14ac:dyDescent="0.3">
      <c r="A334" t="s">
        <v>370</v>
      </c>
      <c r="B334" t="s">
        <v>77</v>
      </c>
      <c r="C334">
        <v>19</v>
      </c>
      <c r="D334" t="s">
        <v>18</v>
      </c>
      <c r="E334" t="str">
        <f>IF(Churn_part[[#This Row],[Type_Forfait]]="Pro Monde", "B2B", "B2C")</f>
        <v>B2C</v>
      </c>
      <c r="F334">
        <v>305</v>
      </c>
      <c r="G334" s="8">
        <v>81.11</v>
      </c>
      <c r="H334">
        <v>1</v>
      </c>
      <c r="I33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34" s="8">
        <f>Churn_part[[#This Row],[Facture_Mensuelle]]*Churn_part[[#This Row],[Remise Client]]</f>
        <v>36.499499999999998</v>
      </c>
    </row>
    <row r="335" spans="1:10" x14ac:dyDescent="0.3">
      <c r="A335" t="s">
        <v>371</v>
      </c>
      <c r="B335" t="s">
        <v>17</v>
      </c>
      <c r="C335">
        <v>77</v>
      </c>
      <c r="D335" t="s">
        <v>10</v>
      </c>
      <c r="E335" t="str">
        <f>IF(Churn_part[[#This Row],[Type_Forfait]]="Pro Monde", "B2B", "B2C")</f>
        <v>B2C</v>
      </c>
      <c r="F335">
        <v>488</v>
      </c>
      <c r="G335" s="8">
        <v>21.17</v>
      </c>
      <c r="H335">
        <v>0</v>
      </c>
      <c r="I33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35" s="8">
        <f>Churn_part[[#This Row],[Facture_Mensuelle]]*Churn_part[[#This Row],[Remise Client]]</f>
        <v>9.5265000000000004</v>
      </c>
    </row>
    <row r="336" spans="1:10" x14ac:dyDescent="0.3">
      <c r="A336" t="s">
        <v>372</v>
      </c>
      <c r="B336" t="s">
        <v>87</v>
      </c>
      <c r="C336">
        <v>37</v>
      </c>
      <c r="D336" t="s">
        <v>13</v>
      </c>
      <c r="E336" t="str">
        <f>IF(Churn_part[[#This Row],[Type_Forfait]]="Pro Monde", "B2B", "B2C")</f>
        <v>B2B</v>
      </c>
      <c r="F336">
        <v>88</v>
      </c>
      <c r="G336" s="8">
        <v>77.77</v>
      </c>
      <c r="H336">
        <v>1</v>
      </c>
      <c r="I33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36" s="8">
        <f>Churn_part[[#This Row],[Facture_Mensuelle]]*Churn_part[[#This Row],[Remise Client]]</f>
        <v>7.7770000000000001</v>
      </c>
    </row>
    <row r="337" spans="1:10" x14ac:dyDescent="0.3">
      <c r="A337" t="s">
        <v>373</v>
      </c>
      <c r="B337" t="s">
        <v>32</v>
      </c>
      <c r="C337">
        <v>19</v>
      </c>
      <c r="D337" t="s">
        <v>21</v>
      </c>
      <c r="E337" t="str">
        <f>IF(Churn_part[[#This Row],[Type_Forfait]]="Pro Monde", "B2B", "B2C")</f>
        <v>B2C</v>
      </c>
      <c r="F337">
        <v>334</v>
      </c>
      <c r="G337" s="8">
        <v>96.91</v>
      </c>
      <c r="H337">
        <v>1</v>
      </c>
      <c r="I33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37" s="8">
        <f>Churn_part[[#This Row],[Facture_Mensuelle]]*Churn_part[[#This Row],[Remise Client]]</f>
        <v>43.609499999999997</v>
      </c>
    </row>
    <row r="338" spans="1:10" x14ac:dyDescent="0.3">
      <c r="A338" t="s">
        <v>374</v>
      </c>
      <c r="B338" t="s">
        <v>17</v>
      </c>
      <c r="C338">
        <v>96</v>
      </c>
      <c r="D338" t="s">
        <v>21</v>
      </c>
      <c r="E338" t="str">
        <f>IF(Churn_part[[#This Row],[Type_Forfait]]="Pro Monde", "B2B", "B2C")</f>
        <v>B2C</v>
      </c>
      <c r="F338">
        <v>381</v>
      </c>
      <c r="G338" s="8">
        <v>90.78</v>
      </c>
      <c r="H338">
        <v>2</v>
      </c>
      <c r="I33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38" s="8">
        <f>Churn_part[[#This Row],[Facture_Mensuelle]]*Churn_part[[#This Row],[Remise Client]]</f>
        <v>40.850999999999999</v>
      </c>
    </row>
    <row r="339" spans="1:10" x14ac:dyDescent="0.3">
      <c r="A339" t="s">
        <v>375</v>
      </c>
      <c r="B339" t="s">
        <v>50</v>
      </c>
      <c r="C339">
        <v>86</v>
      </c>
      <c r="D339" t="s">
        <v>13</v>
      </c>
      <c r="E339" t="str">
        <f>IF(Churn_part[[#This Row],[Type_Forfait]]="Pro Monde", "B2B", "B2C")</f>
        <v>B2B</v>
      </c>
      <c r="F339">
        <v>192</v>
      </c>
      <c r="G339" s="8">
        <v>26.26</v>
      </c>
      <c r="H339">
        <v>1</v>
      </c>
      <c r="I33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39" s="8">
        <f>Churn_part[[#This Row],[Facture_Mensuelle]]*Churn_part[[#This Row],[Remise Client]]</f>
        <v>2.6260000000000003</v>
      </c>
    </row>
    <row r="340" spans="1:10" x14ac:dyDescent="0.3">
      <c r="A340" t="s">
        <v>376</v>
      </c>
      <c r="B340" t="s">
        <v>87</v>
      </c>
      <c r="C340">
        <v>109</v>
      </c>
      <c r="D340" t="s">
        <v>13</v>
      </c>
      <c r="E340" t="str">
        <f>IF(Churn_part[[#This Row],[Type_Forfait]]="Pro Monde", "B2B", "B2C")</f>
        <v>B2B</v>
      </c>
      <c r="F340">
        <v>397</v>
      </c>
      <c r="G340" s="8">
        <v>63.92</v>
      </c>
      <c r="H340">
        <v>1</v>
      </c>
      <c r="I34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40" s="8">
        <f>Churn_part[[#This Row],[Facture_Mensuelle]]*Churn_part[[#This Row],[Remise Client]]</f>
        <v>6.3920000000000003</v>
      </c>
    </row>
    <row r="341" spans="1:10" x14ac:dyDescent="0.3">
      <c r="A341" t="s">
        <v>377</v>
      </c>
      <c r="B341" t="s">
        <v>20</v>
      </c>
      <c r="C341">
        <v>103</v>
      </c>
      <c r="D341" t="s">
        <v>10</v>
      </c>
      <c r="E341" t="str">
        <f>IF(Churn_part[[#This Row],[Type_Forfait]]="Pro Monde", "B2B", "B2C")</f>
        <v>B2C</v>
      </c>
      <c r="F341">
        <v>354</v>
      </c>
      <c r="G341" s="8">
        <v>26.19</v>
      </c>
      <c r="H341">
        <v>4</v>
      </c>
      <c r="I34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41" s="8">
        <f>Churn_part[[#This Row],[Facture_Mensuelle]]*Churn_part[[#This Row],[Remise Client]]</f>
        <v>11.785500000000001</v>
      </c>
    </row>
    <row r="342" spans="1:10" x14ac:dyDescent="0.3">
      <c r="A342" t="s">
        <v>378</v>
      </c>
      <c r="B342" t="s">
        <v>43</v>
      </c>
      <c r="C342">
        <v>106</v>
      </c>
      <c r="D342" t="s">
        <v>21</v>
      </c>
      <c r="E342" t="str">
        <f>IF(Churn_part[[#This Row],[Type_Forfait]]="Pro Monde", "B2B", "B2C")</f>
        <v>B2C</v>
      </c>
      <c r="F342">
        <v>407</v>
      </c>
      <c r="G342" s="8">
        <v>59.92</v>
      </c>
      <c r="H342">
        <v>4</v>
      </c>
      <c r="I34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42" s="8">
        <f>Churn_part[[#This Row],[Facture_Mensuelle]]*Churn_part[[#This Row],[Remise Client]]</f>
        <v>26.964000000000002</v>
      </c>
    </row>
    <row r="343" spans="1:10" x14ac:dyDescent="0.3">
      <c r="A343" t="s">
        <v>379</v>
      </c>
      <c r="B343" t="s">
        <v>77</v>
      </c>
      <c r="C343">
        <v>90</v>
      </c>
      <c r="D343" t="s">
        <v>21</v>
      </c>
      <c r="E343" t="str">
        <f>IF(Churn_part[[#This Row],[Type_Forfait]]="Pro Monde", "B2B", "B2C")</f>
        <v>B2C</v>
      </c>
      <c r="F343">
        <v>343</v>
      </c>
      <c r="G343" s="8">
        <v>82.05</v>
      </c>
      <c r="H343">
        <v>1</v>
      </c>
      <c r="I34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43" s="8">
        <f>Churn_part[[#This Row],[Facture_Mensuelle]]*Churn_part[[#This Row],[Remise Client]]</f>
        <v>36.922499999999999</v>
      </c>
    </row>
    <row r="344" spans="1:10" x14ac:dyDescent="0.3">
      <c r="A344" t="s">
        <v>380</v>
      </c>
      <c r="B344" t="s">
        <v>129</v>
      </c>
      <c r="C344">
        <v>5</v>
      </c>
      <c r="D344" t="s">
        <v>21</v>
      </c>
      <c r="E344" t="str">
        <f>IF(Churn_part[[#This Row],[Type_Forfait]]="Pro Monde", "B2B", "B2C")</f>
        <v>B2C</v>
      </c>
      <c r="F344">
        <v>337</v>
      </c>
      <c r="G344" s="8">
        <v>21.07</v>
      </c>
      <c r="H344">
        <v>4</v>
      </c>
      <c r="I34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44" s="8">
        <f>Churn_part[[#This Row],[Facture_Mensuelle]]*Churn_part[[#This Row],[Remise Client]]</f>
        <v>9.4815000000000005</v>
      </c>
    </row>
    <row r="345" spans="1:10" x14ac:dyDescent="0.3">
      <c r="A345" t="s">
        <v>381</v>
      </c>
      <c r="B345" t="s">
        <v>87</v>
      </c>
      <c r="C345">
        <v>77</v>
      </c>
      <c r="D345" t="s">
        <v>21</v>
      </c>
      <c r="E345" t="str">
        <f>IF(Churn_part[[#This Row],[Type_Forfait]]="Pro Monde", "B2B", "B2C")</f>
        <v>B2C</v>
      </c>
      <c r="F345">
        <v>45</v>
      </c>
      <c r="G345" s="8">
        <v>21.59</v>
      </c>
      <c r="H345">
        <v>2</v>
      </c>
      <c r="I34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45" s="8">
        <f>Churn_part[[#This Row],[Facture_Mensuelle]]*Churn_part[[#This Row],[Remise Client]]</f>
        <v>0</v>
      </c>
    </row>
    <row r="346" spans="1:10" x14ac:dyDescent="0.3">
      <c r="A346" t="s">
        <v>382</v>
      </c>
      <c r="B346" t="s">
        <v>17</v>
      </c>
      <c r="C346">
        <v>41</v>
      </c>
      <c r="D346" t="s">
        <v>18</v>
      </c>
      <c r="E346" t="str">
        <f>IF(Churn_part[[#This Row],[Type_Forfait]]="Pro Monde", "B2B", "B2C")</f>
        <v>B2C</v>
      </c>
      <c r="F346">
        <v>398</v>
      </c>
      <c r="G346" s="8">
        <v>28.56</v>
      </c>
      <c r="H346">
        <v>2</v>
      </c>
      <c r="I34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46" s="8">
        <f>Churn_part[[#This Row],[Facture_Mensuelle]]*Churn_part[[#This Row],[Remise Client]]</f>
        <v>12.852</v>
      </c>
    </row>
    <row r="347" spans="1:10" x14ac:dyDescent="0.3">
      <c r="A347" t="s">
        <v>383</v>
      </c>
      <c r="B347" t="s">
        <v>63</v>
      </c>
      <c r="C347">
        <v>40</v>
      </c>
      <c r="D347" t="s">
        <v>10</v>
      </c>
      <c r="E347" t="str">
        <f>IF(Churn_part[[#This Row],[Type_Forfait]]="Pro Monde", "B2B", "B2C")</f>
        <v>B2C</v>
      </c>
      <c r="F347">
        <v>237</v>
      </c>
      <c r="G347" s="8">
        <v>24.51</v>
      </c>
      <c r="H347">
        <v>1</v>
      </c>
      <c r="I34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47" s="8">
        <f>Churn_part[[#This Row],[Facture_Mensuelle]]*Churn_part[[#This Row],[Remise Client]]</f>
        <v>0</v>
      </c>
    </row>
    <row r="348" spans="1:10" x14ac:dyDescent="0.3">
      <c r="A348" t="s">
        <v>384</v>
      </c>
      <c r="B348" t="s">
        <v>34</v>
      </c>
      <c r="C348">
        <v>65</v>
      </c>
      <c r="D348" t="s">
        <v>18</v>
      </c>
      <c r="E348" t="str">
        <f>IF(Churn_part[[#This Row],[Type_Forfait]]="Pro Monde", "B2B", "B2C")</f>
        <v>B2C</v>
      </c>
      <c r="F348">
        <v>442</v>
      </c>
      <c r="G348" s="8">
        <v>60.62</v>
      </c>
      <c r="H348">
        <v>5</v>
      </c>
      <c r="I34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48" s="8">
        <f>Churn_part[[#This Row],[Facture_Mensuelle]]*Churn_part[[#This Row],[Remise Client]]</f>
        <v>27.279</v>
      </c>
    </row>
    <row r="349" spans="1:10" x14ac:dyDescent="0.3">
      <c r="A349" t="s">
        <v>385</v>
      </c>
      <c r="B349" t="s">
        <v>61</v>
      </c>
      <c r="C349">
        <v>89</v>
      </c>
      <c r="D349" t="s">
        <v>21</v>
      </c>
      <c r="E349" t="str">
        <f>IF(Churn_part[[#This Row],[Type_Forfait]]="Pro Monde", "B2B", "B2C")</f>
        <v>B2C</v>
      </c>
      <c r="F349">
        <v>418</v>
      </c>
      <c r="G349" s="8">
        <v>86.63</v>
      </c>
      <c r="H349">
        <v>4</v>
      </c>
      <c r="I34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49" s="8">
        <f>Churn_part[[#This Row],[Facture_Mensuelle]]*Churn_part[[#This Row],[Remise Client]]</f>
        <v>38.983499999999999</v>
      </c>
    </row>
    <row r="350" spans="1:10" x14ac:dyDescent="0.3">
      <c r="A350" t="s">
        <v>386</v>
      </c>
      <c r="B350" t="s">
        <v>66</v>
      </c>
      <c r="C350">
        <v>12</v>
      </c>
      <c r="D350" t="s">
        <v>13</v>
      </c>
      <c r="E350" t="str">
        <f>IF(Churn_part[[#This Row],[Type_Forfait]]="Pro Monde", "B2B", "B2C")</f>
        <v>B2B</v>
      </c>
      <c r="F350">
        <v>125</v>
      </c>
      <c r="G350" s="8">
        <v>36.93</v>
      </c>
      <c r="H350">
        <v>0</v>
      </c>
      <c r="I35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50" s="8">
        <f>Churn_part[[#This Row],[Facture_Mensuelle]]*Churn_part[[#This Row],[Remise Client]]</f>
        <v>3.6930000000000001</v>
      </c>
    </row>
    <row r="351" spans="1:10" x14ac:dyDescent="0.3">
      <c r="A351" t="s">
        <v>387</v>
      </c>
      <c r="B351" t="s">
        <v>129</v>
      </c>
      <c r="C351">
        <v>47</v>
      </c>
      <c r="D351" t="s">
        <v>13</v>
      </c>
      <c r="E351" t="str">
        <f>IF(Churn_part[[#This Row],[Type_Forfait]]="Pro Monde", "B2B", "B2C")</f>
        <v>B2B</v>
      </c>
      <c r="F351">
        <v>378</v>
      </c>
      <c r="G351" s="8">
        <v>36.42</v>
      </c>
      <c r="H351">
        <v>1</v>
      </c>
      <c r="I35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51" s="8">
        <f>Churn_part[[#This Row],[Facture_Mensuelle]]*Churn_part[[#This Row],[Remise Client]]</f>
        <v>3.6420000000000003</v>
      </c>
    </row>
    <row r="352" spans="1:10" x14ac:dyDescent="0.3">
      <c r="A352" t="s">
        <v>388</v>
      </c>
      <c r="B352" t="s">
        <v>15</v>
      </c>
      <c r="C352">
        <v>117</v>
      </c>
      <c r="D352" t="s">
        <v>21</v>
      </c>
      <c r="E352" t="str">
        <f>IF(Churn_part[[#This Row],[Type_Forfait]]="Pro Monde", "B2B", "B2C")</f>
        <v>B2C</v>
      </c>
      <c r="F352">
        <v>338</v>
      </c>
      <c r="G352" s="8">
        <v>29.18</v>
      </c>
      <c r="H352">
        <v>5</v>
      </c>
      <c r="I35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52" s="8">
        <f>Churn_part[[#This Row],[Facture_Mensuelle]]*Churn_part[[#This Row],[Remise Client]]</f>
        <v>13.131</v>
      </c>
    </row>
    <row r="353" spans="1:10" x14ac:dyDescent="0.3">
      <c r="A353" t="s">
        <v>389</v>
      </c>
      <c r="B353" t="s">
        <v>28</v>
      </c>
      <c r="C353">
        <v>43</v>
      </c>
      <c r="D353" t="s">
        <v>10</v>
      </c>
      <c r="E353" t="str">
        <f>IF(Churn_part[[#This Row],[Type_Forfait]]="Pro Monde", "B2B", "B2C")</f>
        <v>B2C</v>
      </c>
      <c r="F353">
        <v>486</v>
      </c>
      <c r="G353" s="8">
        <v>76.42</v>
      </c>
      <c r="H353">
        <v>1</v>
      </c>
      <c r="I35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53" s="8">
        <f>Churn_part[[#This Row],[Facture_Mensuelle]]*Churn_part[[#This Row],[Remise Client]]</f>
        <v>34.389000000000003</v>
      </c>
    </row>
    <row r="354" spans="1:10" x14ac:dyDescent="0.3">
      <c r="A354" t="s">
        <v>390</v>
      </c>
      <c r="B354" t="s">
        <v>129</v>
      </c>
      <c r="C354">
        <v>100</v>
      </c>
      <c r="D354" t="s">
        <v>18</v>
      </c>
      <c r="E354" t="str">
        <f>IF(Churn_part[[#This Row],[Type_Forfait]]="Pro Monde", "B2B", "B2C")</f>
        <v>B2C</v>
      </c>
      <c r="F354">
        <v>471</v>
      </c>
      <c r="G354" s="8">
        <v>61.2</v>
      </c>
      <c r="H354">
        <v>3</v>
      </c>
      <c r="I35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54" s="8">
        <f>Churn_part[[#This Row],[Facture_Mensuelle]]*Churn_part[[#This Row],[Remise Client]]</f>
        <v>27.540000000000003</v>
      </c>
    </row>
    <row r="355" spans="1:10" x14ac:dyDescent="0.3">
      <c r="A355" t="s">
        <v>391</v>
      </c>
      <c r="B355" t="s">
        <v>125</v>
      </c>
      <c r="C355">
        <v>35</v>
      </c>
      <c r="D355" t="s">
        <v>21</v>
      </c>
      <c r="E355" t="str">
        <f>IF(Churn_part[[#This Row],[Type_Forfait]]="Pro Monde", "B2B", "B2C")</f>
        <v>B2C</v>
      </c>
      <c r="F355">
        <v>421</v>
      </c>
      <c r="G355" s="8">
        <v>29.57</v>
      </c>
      <c r="H355">
        <v>5</v>
      </c>
      <c r="I35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55" s="8">
        <f>Churn_part[[#This Row],[Facture_Mensuelle]]*Churn_part[[#This Row],[Remise Client]]</f>
        <v>13.3065</v>
      </c>
    </row>
    <row r="356" spans="1:10" x14ac:dyDescent="0.3">
      <c r="A356" t="s">
        <v>392</v>
      </c>
      <c r="B356" t="s">
        <v>39</v>
      </c>
      <c r="C356">
        <v>19</v>
      </c>
      <c r="D356" t="s">
        <v>21</v>
      </c>
      <c r="E356" t="str">
        <f>IF(Churn_part[[#This Row],[Type_Forfait]]="Pro Monde", "B2B", "B2C")</f>
        <v>B2C</v>
      </c>
      <c r="F356">
        <v>450</v>
      </c>
      <c r="G356" s="8">
        <v>37.43</v>
      </c>
      <c r="H356">
        <v>2</v>
      </c>
      <c r="I35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56" s="8">
        <f>Churn_part[[#This Row],[Facture_Mensuelle]]*Churn_part[[#This Row],[Remise Client]]</f>
        <v>16.843499999999999</v>
      </c>
    </row>
    <row r="357" spans="1:10" x14ac:dyDescent="0.3">
      <c r="A357" t="s">
        <v>393</v>
      </c>
      <c r="B357" t="s">
        <v>66</v>
      </c>
      <c r="C357">
        <v>112</v>
      </c>
      <c r="D357" t="s">
        <v>21</v>
      </c>
      <c r="E357" t="str">
        <f>IF(Churn_part[[#This Row],[Type_Forfait]]="Pro Monde", "B2B", "B2C")</f>
        <v>B2C</v>
      </c>
      <c r="F357">
        <v>483</v>
      </c>
      <c r="G357" s="8">
        <v>93.98</v>
      </c>
      <c r="H357">
        <v>0</v>
      </c>
      <c r="I35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57" s="8">
        <f>Churn_part[[#This Row],[Facture_Mensuelle]]*Churn_part[[#This Row],[Remise Client]]</f>
        <v>42.291000000000004</v>
      </c>
    </row>
    <row r="358" spans="1:10" x14ac:dyDescent="0.3">
      <c r="A358" t="s">
        <v>394</v>
      </c>
      <c r="B358" t="s">
        <v>12</v>
      </c>
      <c r="C358">
        <v>103</v>
      </c>
      <c r="D358" t="s">
        <v>13</v>
      </c>
      <c r="E358" t="str">
        <f>IF(Churn_part[[#This Row],[Type_Forfait]]="Pro Monde", "B2B", "B2C")</f>
        <v>B2B</v>
      </c>
      <c r="F358">
        <v>270</v>
      </c>
      <c r="G358" s="8">
        <v>67.87</v>
      </c>
      <c r="H358">
        <v>3</v>
      </c>
      <c r="I35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58" s="8">
        <f>Churn_part[[#This Row],[Facture_Mensuelle]]*Churn_part[[#This Row],[Remise Client]]</f>
        <v>6.7870000000000008</v>
      </c>
    </row>
    <row r="359" spans="1:10" x14ac:dyDescent="0.3">
      <c r="A359" t="s">
        <v>395</v>
      </c>
      <c r="B359" t="s">
        <v>9</v>
      </c>
      <c r="C359">
        <v>29</v>
      </c>
      <c r="D359" t="s">
        <v>10</v>
      </c>
      <c r="E359" t="str">
        <f>IF(Churn_part[[#This Row],[Type_Forfait]]="Pro Monde", "B2B", "B2C")</f>
        <v>B2C</v>
      </c>
      <c r="F359">
        <v>350</v>
      </c>
      <c r="G359" s="8">
        <v>84.32</v>
      </c>
      <c r="H359">
        <v>3</v>
      </c>
      <c r="I35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59" s="8">
        <f>Churn_part[[#This Row],[Facture_Mensuelle]]*Churn_part[[#This Row],[Remise Client]]</f>
        <v>37.943999999999996</v>
      </c>
    </row>
    <row r="360" spans="1:10" x14ac:dyDescent="0.3">
      <c r="A360" t="s">
        <v>396</v>
      </c>
      <c r="B360" t="s">
        <v>36</v>
      </c>
      <c r="C360">
        <v>36</v>
      </c>
      <c r="D360" t="s">
        <v>18</v>
      </c>
      <c r="E360" t="str">
        <f>IF(Churn_part[[#This Row],[Type_Forfait]]="Pro Monde", "B2B", "B2C")</f>
        <v>B2C</v>
      </c>
      <c r="F360">
        <v>311</v>
      </c>
      <c r="G360" s="8">
        <v>13.19</v>
      </c>
      <c r="H360">
        <v>4</v>
      </c>
      <c r="I36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60" s="8">
        <f>Churn_part[[#This Row],[Facture_Mensuelle]]*Churn_part[[#This Row],[Remise Client]]</f>
        <v>5.9355000000000002</v>
      </c>
    </row>
    <row r="361" spans="1:10" x14ac:dyDescent="0.3">
      <c r="A361" t="s">
        <v>397</v>
      </c>
      <c r="B361" t="s">
        <v>43</v>
      </c>
      <c r="C361">
        <v>2</v>
      </c>
      <c r="D361" t="s">
        <v>10</v>
      </c>
      <c r="E361" t="str">
        <f>IF(Churn_part[[#This Row],[Type_Forfait]]="Pro Monde", "B2B", "B2C")</f>
        <v>B2C</v>
      </c>
      <c r="F361">
        <v>21</v>
      </c>
      <c r="G361" s="8">
        <v>51.68</v>
      </c>
      <c r="H361">
        <v>3</v>
      </c>
      <c r="I36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61" s="8">
        <f>Churn_part[[#This Row],[Facture_Mensuelle]]*Churn_part[[#This Row],[Remise Client]]</f>
        <v>0</v>
      </c>
    </row>
    <row r="362" spans="1:10" x14ac:dyDescent="0.3">
      <c r="A362" t="s">
        <v>398</v>
      </c>
      <c r="B362" t="s">
        <v>59</v>
      </c>
      <c r="C362">
        <v>13</v>
      </c>
      <c r="D362" t="s">
        <v>21</v>
      </c>
      <c r="E362" t="str">
        <f>IF(Churn_part[[#This Row],[Type_Forfait]]="Pro Monde", "B2B", "B2C")</f>
        <v>B2C</v>
      </c>
      <c r="F362">
        <v>310</v>
      </c>
      <c r="G362" s="8">
        <v>65.599999999999994</v>
      </c>
      <c r="H362">
        <v>5</v>
      </c>
      <c r="I36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62" s="8">
        <f>Churn_part[[#This Row],[Facture_Mensuelle]]*Churn_part[[#This Row],[Remise Client]]</f>
        <v>29.52</v>
      </c>
    </row>
    <row r="363" spans="1:10" x14ac:dyDescent="0.3">
      <c r="A363" t="s">
        <v>399</v>
      </c>
      <c r="B363" t="s">
        <v>32</v>
      </c>
      <c r="C363">
        <v>49</v>
      </c>
      <c r="D363" t="s">
        <v>13</v>
      </c>
      <c r="E363" t="str">
        <f>IF(Churn_part[[#This Row],[Type_Forfait]]="Pro Monde", "B2B", "B2C")</f>
        <v>B2B</v>
      </c>
      <c r="F363">
        <v>229</v>
      </c>
      <c r="G363" s="8">
        <v>53.94</v>
      </c>
      <c r="H363">
        <v>5</v>
      </c>
      <c r="I36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63" s="8">
        <f>Churn_part[[#This Row],[Facture_Mensuelle]]*Churn_part[[#This Row],[Remise Client]]</f>
        <v>5.3940000000000001</v>
      </c>
    </row>
    <row r="364" spans="1:10" x14ac:dyDescent="0.3">
      <c r="A364" t="s">
        <v>400</v>
      </c>
      <c r="B364" t="s">
        <v>39</v>
      </c>
      <c r="C364">
        <v>29</v>
      </c>
      <c r="D364" t="s">
        <v>13</v>
      </c>
      <c r="E364" t="str">
        <f>IF(Churn_part[[#This Row],[Type_Forfait]]="Pro Monde", "B2B", "B2C")</f>
        <v>B2B</v>
      </c>
      <c r="F364">
        <v>493</v>
      </c>
      <c r="G364" s="8">
        <v>42.02</v>
      </c>
      <c r="H364">
        <v>1</v>
      </c>
      <c r="I36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64" s="8">
        <f>Churn_part[[#This Row],[Facture_Mensuelle]]*Churn_part[[#This Row],[Remise Client]]</f>
        <v>4.2020000000000008</v>
      </c>
    </row>
    <row r="365" spans="1:10" x14ac:dyDescent="0.3">
      <c r="A365" t="s">
        <v>401</v>
      </c>
      <c r="B365" t="s">
        <v>15</v>
      </c>
      <c r="C365">
        <v>49</v>
      </c>
      <c r="D365" t="s">
        <v>21</v>
      </c>
      <c r="E365" t="str">
        <f>IF(Churn_part[[#This Row],[Type_Forfait]]="Pro Monde", "B2B", "B2C")</f>
        <v>B2C</v>
      </c>
      <c r="F365">
        <v>86</v>
      </c>
      <c r="G365" s="8">
        <v>65.400000000000006</v>
      </c>
      <c r="H365">
        <v>2</v>
      </c>
      <c r="I36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65" s="8">
        <f>Churn_part[[#This Row],[Facture_Mensuelle]]*Churn_part[[#This Row],[Remise Client]]</f>
        <v>0</v>
      </c>
    </row>
    <row r="366" spans="1:10" x14ac:dyDescent="0.3">
      <c r="A366" t="s">
        <v>402</v>
      </c>
      <c r="B366" t="s">
        <v>17</v>
      </c>
      <c r="C366">
        <v>14</v>
      </c>
      <c r="D366" t="s">
        <v>13</v>
      </c>
      <c r="E366" t="str">
        <f>IF(Churn_part[[#This Row],[Type_Forfait]]="Pro Monde", "B2B", "B2C")</f>
        <v>B2B</v>
      </c>
      <c r="F366">
        <v>345</v>
      </c>
      <c r="G366" s="8">
        <v>39.57</v>
      </c>
      <c r="H366">
        <v>3</v>
      </c>
      <c r="I36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66" s="8">
        <f>Churn_part[[#This Row],[Facture_Mensuelle]]*Churn_part[[#This Row],[Remise Client]]</f>
        <v>3.9570000000000003</v>
      </c>
    </row>
    <row r="367" spans="1:10" x14ac:dyDescent="0.3">
      <c r="A367" t="s">
        <v>403</v>
      </c>
      <c r="B367" t="s">
        <v>66</v>
      </c>
      <c r="C367">
        <v>101</v>
      </c>
      <c r="D367" t="s">
        <v>10</v>
      </c>
      <c r="E367" t="str">
        <f>IF(Churn_part[[#This Row],[Type_Forfait]]="Pro Monde", "B2B", "B2C")</f>
        <v>B2C</v>
      </c>
      <c r="F367">
        <v>476</v>
      </c>
      <c r="G367" s="8">
        <v>41.85</v>
      </c>
      <c r="H367">
        <v>4</v>
      </c>
      <c r="I36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67" s="8">
        <f>Churn_part[[#This Row],[Facture_Mensuelle]]*Churn_part[[#This Row],[Remise Client]]</f>
        <v>18.8325</v>
      </c>
    </row>
    <row r="368" spans="1:10" x14ac:dyDescent="0.3">
      <c r="A368" t="s">
        <v>404</v>
      </c>
      <c r="B368" t="s">
        <v>15</v>
      </c>
      <c r="C368">
        <v>119</v>
      </c>
      <c r="D368" t="s">
        <v>13</v>
      </c>
      <c r="E368" t="str">
        <f>IF(Churn_part[[#This Row],[Type_Forfait]]="Pro Monde", "B2B", "B2C")</f>
        <v>B2B</v>
      </c>
      <c r="F368">
        <v>451</v>
      </c>
      <c r="G368" s="8">
        <v>10.46</v>
      </c>
      <c r="H368">
        <v>5</v>
      </c>
      <c r="I36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68" s="8">
        <f>Churn_part[[#This Row],[Facture_Mensuelle]]*Churn_part[[#This Row],[Remise Client]]</f>
        <v>1.046</v>
      </c>
    </row>
    <row r="369" spans="1:10" x14ac:dyDescent="0.3">
      <c r="A369" t="s">
        <v>405</v>
      </c>
      <c r="B369" t="s">
        <v>36</v>
      </c>
      <c r="C369">
        <v>16</v>
      </c>
      <c r="D369" t="s">
        <v>10</v>
      </c>
      <c r="E369" t="str">
        <f>IF(Churn_part[[#This Row],[Type_Forfait]]="Pro Monde", "B2B", "B2C")</f>
        <v>B2C</v>
      </c>
      <c r="F369">
        <v>391</v>
      </c>
      <c r="G369" s="8">
        <v>90.12</v>
      </c>
      <c r="H369">
        <v>5</v>
      </c>
      <c r="I36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69" s="8">
        <f>Churn_part[[#This Row],[Facture_Mensuelle]]*Churn_part[[#This Row],[Remise Client]]</f>
        <v>40.554000000000002</v>
      </c>
    </row>
    <row r="370" spans="1:10" x14ac:dyDescent="0.3">
      <c r="A370" t="s">
        <v>406</v>
      </c>
      <c r="B370" t="s">
        <v>15</v>
      </c>
      <c r="C370">
        <v>23</v>
      </c>
      <c r="D370" t="s">
        <v>10</v>
      </c>
      <c r="E370" t="str">
        <f>IF(Churn_part[[#This Row],[Type_Forfait]]="Pro Monde", "B2B", "B2C")</f>
        <v>B2C</v>
      </c>
      <c r="F370">
        <v>268</v>
      </c>
      <c r="G370" s="8">
        <v>26.75</v>
      </c>
      <c r="H370">
        <v>3</v>
      </c>
      <c r="I37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70" s="8">
        <f>Churn_part[[#This Row],[Facture_Mensuelle]]*Churn_part[[#This Row],[Remise Client]]</f>
        <v>12.0375</v>
      </c>
    </row>
    <row r="371" spans="1:10" x14ac:dyDescent="0.3">
      <c r="A371" t="s">
        <v>407</v>
      </c>
      <c r="B371" t="s">
        <v>32</v>
      </c>
      <c r="C371">
        <v>68</v>
      </c>
      <c r="D371" t="s">
        <v>13</v>
      </c>
      <c r="E371" t="str">
        <f>IF(Churn_part[[#This Row],[Type_Forfait]]="Pro Monde", "B2B", "B2C")</f>
        <v>B2B</v>
      </c>
      <c r="F371">
        <v>462</v>
      </c>
      <c r="G371" s="8">
        <v>41.91</v>
      </c>
      <c r="H371">
        <v>1</v>
      </c>
      <c r="I37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71" s="8">
        <f>Churn_part[[#This Row],[Facture_Mensuelle]]*Churn_part[[#This Row],[Remise Client]]</f>
        <v>4.1909999999999998</v>
      </c>
    </row>
    <row r="372" spans="1:10" x14ac:dyDescent="0.3">
      <c r="A372" t="s">
        <v>408</v>
      </c>
      <c r="B372" t="s">
        <v>36</v>
      </c>
      <c r="C372">
        <v>94</v>
      </c>
      <c r="D372" t="s">
        <v>21</v>
      </c>
      <c r="E372" t="str">
        <f>IF(Churn_part[[#This Row],[Type_Forfait]]="Pro Monde", "B2B", "B2C")</f>
        <v>B2C</v>
      </c>
      <c r="F372">
        <v>115</v>
      </c>
      <c r="G372" s="8">
        <v>19.12</v>
      </c>
      <c r="H372">
        <v>0</v>
      </c>
      <c r="I37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72" s="8">
        <f>Churn_part[[#This Row],[Facture_Mensuelle]]*Churn_part[[#This Row],[Remise Client]]</f>
        <v>0</v>
      </c>
    </row>
    <row r="373" spans="1:10" x14ac:dyDescent="0.3">
      <c r="A373" t="s">
        <v>409</v>
      </c>
      <c r="B373" t="s">
        <v>20</v>
      </c>
      <c r="C373">
        <v>113</v>
      </c>
      <c r="D373" t="s">
        <v>10</v>
      </c>
      <c r="E373" t="str">
        <f>IF(Churn_part[[#This Row],[Type_Forfait]]="Pro Monde", "B2B", "B2C")</f>
        <v>B2C</v>
      </c>
      <c r="F373">
        <v>89</v>
      </c>
      <c r="G373" s="8">
        <v>54.28</v>
      </c>
      <c r="H373">
        <v>0</v>
      </c>
      <c r="I37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73" s="8">
        <f>Churn_part[[#This Row],[Facture_Mensuelle]]*Churn_part[[#This Row],[Remise Client]]</f>
        <v>0</v>
      </c>
    </row>
    <row r="374" spans="1:10" x14ac:dyDescent="0.3">
      <c r="A374" t="s">
        <v>410</v>
      </c>
      <c r="B374" t="s">
        <v>87</v>
      </c>
      <c r="C374">
        <v>40</v>
      </c>
      <c r="D374" t="s">
        <v>18</v>
      </c>
      <c r="E374" t="str">
        <f>IF(Churn_part[[#This Row],[Type_Forfait]]="Pro Monde", "B2B", "B2C")</f>
        <v>B2C</v>
      </c>
      <c r="F374">
        <v>38</v>
      </c>
      <c r="G374" s="8">
        <v>17.63</v>
      </c>
      <c r="H374">
        <v>0</v>
      </c>
      <c r="I37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74" s="8">
        <f>Churn_part[[#This Row],[Facture_Mensuelle]]*Churn_part[[#This Row],[Remise Client]]</f>
        <v>0</v>
      </c>
    </row>
    <row r="375" spans="1:10" x14ac:dyDescent="0.3">
      <c r="A375" t="s">
        <v>411</v>
      </c>
      <c r="B375" t="s">
        <v>12</v>
      </c>
      <c r="C375">
        <v>76</v>
      </c>
      <c r="D375" t="s">
        <v>10</v>
      </c>
      <c r="E375" t="str">
        <f>IF(Churn_part[[#This Row],[Type_Forfait]]="Pro Monde", "B2B", "B2C")</f>
        <v>B2C</v>
      </c>
      <c r="F375">
        <v>187</v>
      </c>
      <c r="G375" s="8">
        <v>56.29</v>
      </c>
      <c r="H375">
        <v>1</v>
      </c>
      <c r="I37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75" s="8">
        <f>Churn_part[[#This Row],[Facture_Mensuelle]]*Churn_part[[#This Row],[Remise Client]]</f>
        <v>0</v>
      </c>
    </row>
    <row r="376" spans="1:10" x14ac:dyDescent="0.3">
      <c r="A376" t="s">
        <v>412</v>
      </c>
      <c r="B376" t="s">
        <v>15</v>
      </c>
      <c r="C376">
        <v>106</v>
      </c>
      <c r="D376" t="s">
        <v>13</v>
      </c>
      <c r="E376" t="str">
        <f>IF(Churn_part[[#This Row],[Type_Forfait]]="Pro Monde", "B2B", "B2C")</f>
        <v>B2B</v>
      </c>
      <c r="F376">
        <v>429</v>
      </c>
      <c r="G376" s="8">
        <v>23.83</v>
      </c>
      <c r="H376">
        <v>1</v>
      </c>
      <c r="I37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76" s="8">
        <f>Churn_part[[#This Row],[Facture_Mensuelle]]*Churn_part[[#This Row],[Remise Client]]</f>
        <v>2.383</v>
      </c>
    </row>
    <row r="377" spans="1:10" x14ac:dyDescent="0.3">
      <c r="A377" t="s">
        <v>413</v>
      </c>
      <c r="B377" t="s">
        <v>72</v>
      </c>
      <c r="C377">
        <v>104</v>
      </c>
      <c r="D377" t="s">
        <v>10</v>
      </c>
      <c r="E377" t="str">
        <f>IF(Churn_part[[#This Row],[Type_Forfait]]="Pro Monde", "B2B", "B2C")</f>
        <v>B2C</v>
      </c>
      <c r="F377">
        <v>68</v>
      </c>
      <c r="G377" s="8">
        <v>21.15</v>
      </c>
      <c r="H377">
        <v>2</v>
      </c>
      <c r="I37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77" s="8">
        <f>Churn_part[[#This Row],[Facture_Mensuelle]]*Churn_part[[#This Row],[Remise Client]]</f>
        <v>0</v>
      </c>
    </row>
    <row r="378" spans="1:10" x14ac:dyDescent="0.3">
      <c r="A378" t="s">
        <v>414</v>
      </c>
      <c r="B378" t="s">
        <v>30</v>
      </c>
      <c r="C378">
        <v>63</v>
      </c>
      <c r="D378" t="s">
        <v>18</v>
      </c>
      <c r="E378" t="str">
        <f>IF(Churn_part[[#This Row],[Type_Forfait]]="Pro Monde", "B2B", "B2C")</f>
        <v>B2C</v>
      </c>
      <c r="F378">
        <v>263</v>
      </c>
      <c r="G378" s="8">
        <v>53.87</v>
      </c>
      <c r="H378">
        <v>4</v>
      </c>
      <c r="I37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78" s="8">
        <f>Churn_part[[#This Row],[Facture_Mensuelle]]*Churn_part[[#This Row],[Remise Client]]</f>
        <v>24.241499999999998</v>
      </c>
    </row>
    <row r="379" spans="1:10" x14ac:dyDescent="0.3">
      <c r="A379" t="s">
        <v>415</v>
      </c>
      <c r="B379" t="s">
        <v>28</v>
      </c>
      <c r="C379">
        <v>13</v>
      </c>
      <c r="D379" t="s">
        <v>18</v>
      </c>
      <c r="E379" t="str">
        <f>IF(Churn_part[[#This Row],[Type_Forfait]]="Pro Monde", "B2B", "B2C")</f>
        <v>B2C</v>
      </c>
      <c r="F379">
        <v>180</v>
      </c>
      <c r="G379" s="8">
        <v>24.01</v>
      </c>
      <c r="H379">
        <v>0</v>
      </c>
      <c r="I37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79" s="8">
        <f>Churn_part[[#This Row],[Facture_Mensuelle]]*Churn_part[[#This Row],[Remise Client]]</f>
        <v>0</v>
      </c>
    </row>
    <row r="380" spans="1:10" x14ac:dyDescent="0.3">
      <c r="A380" t="s">
        <v>416</v>
      </c>
      <c r="B380" t="s">
        <v>9</v>
      </c>
      <c r="C380">
        <v>68</v>
      </c>
      <c r="D380" t="s">
        <v>18</v>
      </c>
      <c r="E380" t="str">
        <f>IF(Churn_part[[#This Row],[Type_Forfait]]="Pro Monde", "B2B", "B2C")</f>
        <v>B2C</v>
      </c>
      <c r="F380">
        <v>487</v>
      </c>
      <c r="G380" s="8">
        <v>69.099999999999994</v>
      </c>
      <c r="H380">
        <v>5</v>
      </c>
      <c r="I38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80" s="8">
        <f>Churn_part[[#This Row],[Facture_Mensuelle]]*Churn_part[[#This Row],[Remise Client]]</f>
        <v>31.094999999999999</v>
      </c>
    </row>
    <row r="381" spans="1:10" x14ac:dyDescent="0.3">
      <c r="A381" t="s">
        <v>417</v>
      </c>
      <c r="B381" t="s">
        <v>43</v>
      </c>
      <c r="C381">
        <v>45</v>
      </c>
      <c r="D381" t="s">
        <v>21</v>
      </c>
      <c r="E381" t="str">
        <f>IF(Churn_part[[#This Row],[Type_Forfait]]="Pro Monde", "B2B", "B2C")</f>
        <v>B2C</v>
      </c>
      <c r="F381">
        <v>26</v>
      </c>
      <c r="G381" s="8">
        <v>30.35</v>
      </c>
      <c r="H381">
        <v>1</v>
      </c>
      <c r="I38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81" s="8">
        <f>Churn_part[[#This Row],[Facture_Mensuelle]]*Churn_part[[#This Row],[Remise Client]]</f>
        <v>0</v>
      </c>
    </row>
    <row r="382" spans="1:10" x14ac:dyDescent="0.3">
      <c r="A382" t="s">
        <v>418</v>
      </c>
      <c r="B382" t="s">
        <v>77</v>
      </c>
      <c r="C382">
        <v>90</v>
      </c>
      <c r="D382" t="s">
        <v>18</v>
      </c>
      <c r="E382" t="str">
        <f>IF(Churn_part[[#This Row],[Type_Forfait]]="Pro Monde", "B2B", "B2C")</f>
        <v>B2C</v>
      </c>
      <c r="F382">
        <v>216</v>
      </c>
      <c r="G382" s="8">
        <v>45.58</v>
      </c>
      <c r="H382">
        <v>0</v>
      </c>
      <c r="I38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82" s="8">
        <f>Churn_part[[#This Row],[Facture_Mensuelle]]*Churn_part[[#This Row],[Remise Client]]</f>
        <v>0</v>
      </c>
    </row>
    <row r="383" spans="1:10" x14ac:dyDescent="0.3">
      <c r="A383" t="s">
        <v>419</v>
      </c>
      <c r="B383" t="s">
        <v>23</v>
      </c>
      <c r="C383">
        <v>74</v>
      </c>
      <c r="D383" t="s">
        <v>21</v>
      </c>
      <c r="E383" t="str">
        <f>IF(Churn_part[[#This Row],[Type_Forfait]]="Pro Monde", "B2B", "B2C")</f>
        <v>B2C</v>
      </c>
      <c r="F383">
        <v>253</v>
      </c>
      <c r="G383" s="8">
        <v>36.94</v>
      </c>
      <c r="H383">
        <v>5</v>
      </c>
      <c r="I38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83" s="8">
        <f>Churn_part[[#This Row],[Facture_Mensuelle]]*Churn_part[[#This Row],[Remise Client]]</f>
        <v>16.623000000000001</v>
      </c>
    </row>
    <row r="384" spans="1:10" x14ac:dyDescent="0.3">
      <c r="A384" t="s">
        <v>420</v>
      </c>
      <c r="B384" t="s">
        <v>9</v>
      </c>
      <c r="C384">
        <v>111</v>
      </c>
      <c r="D384" t="s">
        <v>18</v>
      </c>
      <c r="E384" t="str">
        <f>IF(Churn_part[[#This Row],[Type_Forfait]]="Pro Monde", "B2B", "B2C")</f>
        <v>B2C</v>
      </c>
      <c r="F384">
        <v>194</v>
      </c>
      <c r="G384" s="8">
        <v>48.55</v>
      </c>
      <c r="H384">
        <v>2</v>
      </c>
      <c r="I38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84" s="8">
        <f>Churn_part[[#This Row],[Facture_Mensuelle]]*Churn_part[[#This Row],[Remise Client]]</f>
        <v>0</v>
      </c>
    </row>
    <row r="385" spans="1:10" x14ac:dyDescent="0.3">
      <c r="A385" t="s">
        <v>421</v>
      </c>
      <c r="B385" t="s">
        <v>129</v>
      </c>
      <c r="C385">
        <v>37</v>
      </c>
      <c r="D385" t="s">
        <v>18</v>
      </c>
      <c r="E385" t="str">
        <f>IF(Churn_part[[#This Row],[Type_Forfait]]="Pro Monde", "B2B", "B2C")</f>
        <v>B2C</v>
      </c>
      <c r="F385">
        <v>87</v>
      </c>
      <c r="G385" s="8">
        <v>26.4</v>
      </c>
      <c r="H385">
        <v>3</v>
      </c>
      <c r="I38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85" s="8">
        <f>Churn_part[[#This Row],[Facture_Mensuelle]]*Churn_part[[#This Row],[Remise Client]]</f>
        <v>0</v>
      </c>
    </row>
    <row r="386" spans="1:10" x14ac:dyDescent="0.3">
      <c r="A386" t="s">
        <v>422</v>
      </c>
      <c r="B386" t="s">
        <v>63</v>
      </c>
      <c r="C386">
        <v>71</v>
      </c>
      <c r="D386" t="s">
        <v>10</v>
      </c>
      <c r="E386" t="str">
        <f>IF(Churn_part[[#This Row],[Type_Forfait]]="Pro Monde", "B2B", "B2C")</f>
        <v>B2C</v>
      </c>
      <c r="F386">
        <v>191</v>
      </c>
      <c r="G386" s="8">
        <v>83.04</v>
      </c>
      <c r="H386">
        <v>4</v>
      </c>
      <c r="I38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86" s="8">
        <f>Churn_part[[#This Row],[Facture_Mensuelle]]*Churn_part[[#This Row],[Remise Client]]</f>
        <v>0</v>
      </c>
    </row>
    <row r="387" spans="1:10" x14ac:dyDescent="0.3">
      <c r="A387" t="s">
        <v>423</v>
      </c>
      <c r="B387" t="s">
        <v>30</v>
      </c>
      <c r="C387">
        <v>35</v>
      </c>
      <c r="D387" t="s">
        <v>13</v>
      </c>
      <c r="E387" t="str">
        <f>IF(Churn_part[[#This Row],[Type_Forfait]]="Pro Monde", "B2B", "B2C")</f>
        <v>B2B</v>
      </c>
      <c r="F387">
        <v>496</v>
      </c>
      <c r="G387" s="8">
        <v>19.78</v>
      </c>
      <c r="H387">
        <v>5</v>
      </c>
      <c r="I38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87" s="8">
        <f>Churn_part[[#This Row],[Facture_Mensuelle]]*Churn_part[[#This Row],[Remise Client]]</f>
        <v>1.9780000000000002</v>
      </c>
    </row>
    <row r="388" spans="1:10" x14ac:dyDescent="0.3">
      <c r="A388" t="s">
        <v>424</v>
      </c>
      <c r="B388" t="s">
        <v>56</v>
      </c>
      <c r="C388">
        <v>78</v>
      </c>
      <c r="D388" t="s">
        <v>18</v>
      </c>
      <c r="E388" t="str">
        <f>IF(Churn_part[[#This Row],[Type_Forfait]]="Pro Monde", "B2B", "B2C")</f>
        <v>B2C</v>
      </c>
      <c r="F388">
        <v>57</v>
      </c>
      <c r="G388" s="8">
        <v>49.47</v>
      </c>
      <c r="H388">
        <v>0</v>
      </c>
      <c r="I38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88" s="8">
        <f>Churn_part[[#This Row],[Facture_Mensuelle]]*Churn_part[[#This Row],[Remise Client]]</f>
        <v>0</v>
      </c>
    </row>
    <row r="389" spans="1:10" x14ac:dyDescent="0.3">
      <c r="A389" t="s">
        <v>425</v>
      </c>
      <c r="B389" t="s">
        <v>39</v>
      </c>
      <c r="C389">
        <v>13</v>
      </c>
      <c r="D389" t="s">
        <v>13</v>
      </c>
      <c r="E389" t="str">
        <f>IF(Churn_part[[#This Row],[Type_Forfait]]="Pro Monde", "B2B", "B2C")</f>
        <v>B2B</v>
      </c>
      <c r="F389">
        <v>173</v>
      </c>
      <c r="G389" s="8">
        <v>85.54</v>
      </c>
      <c r="H389">
        <v>3</v>
      </c>
      <c r="I38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89" s="8">
        <f>Churn_part[[#This Row],[Facture_Mensuelle]]*Churn_part[[#This Row],[Remise Client]]</f>
        <v>8.5540000000000003</v>
      </c>
    </row>
    <row r="390" spans="1:10" x14ac:dyDescent="0.3">
      <c r="A390" t="s">
        <v>426</v>
      </c>
      <c r="B390" t="s">
        <v>66</v>
      </c>
      <c r="C390">
        <v>115</v>
      </c>
      <c r="D390" t="s">
        <v>21</v>
      </c>
      <c r="E390" t="str">
        <f>IF(Churn_part[[#This Row],[Type_Forfait]]="Pro Monde", "B2B", "B2C")</f>
        <v>B2C</v>
      </c>
      <c r="F390">
        <v>467</v>
      </c>
      <c r="G390" s="8">
        <v>24.57</v>
      </c>
      <c r="H390">
        <v>3</v>
      </c>
      <c r="I39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90" s="8">
        <f>Churn_part[[#This Row],[Facture_Mensuelle]]*Churn_part[[#This Row],[Remise Client]]</f>
        <v>11.0565</v>
      </c>
    </row>
    <row r="391" spans="1:10" x14ac:dyDescent="0.3">
      <c r="A391" t="s">
        <v>427</v>
      </c>
      <c r="B391" t="s">
        <v>50</v>
      </c>
      <c r="C391">
        <v>7</v>
      </c>
      <c r="D391" t="s">
        <v>13</v>
      </c>
      <c r="E391" t="str">
        <f>IF(Churn_part[[#This Row],[Type_Forfait]]="Pro Monde", "B2B", "B2C")</f>
        <v>B2B</v>
      </c>
      <c r="F391">
        <v>347</v>
      </c>
      <c r="G391" s="8">
        <v>41.84</v>
      </c>
      <c r="H391">
        <v>2</v>
      </c>
      <c r="I39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91" s="8">
        <f>Churn_part[[#This Row],[Facture_Mensuelle]]*Churn_part[[#This Row],[Remise Client]]</f>
        <v>4.1840000000000002</v>
      </c>
    </row>
    <row r="392" spans="1:10" x14ac:dyDescent="0.3">
      <c r="A392" t="s">
        <v>428</v>
      </c>
      <c r="B392" t="s">
        <v>59</v>
      </c>
      <c r="C392">
        <v>22</v>
      </c>
      <c r="D392" t="s">
        <v>13</v>
      </c>
      <c r="E392" t="str">
        <f>IF(Churn_part[[#This Row],[Type_Forfait]]="Pro Monde", "B2B", "B2C")</f>
        <v>B2B</v>
      </c>
      <c r="F392">
        <v>127</v>
      </c>
      <c r="G392" s="8">
        <v>49.06</v>
      </c>
      <c r="H392">
        <v>2</v>
      </c>
      <c r="I39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92" s="8">
        <f>Churn_part[[#This Row],[Facture_Mensuelle]]*Churn_part[[#This Row],[Remise Client]]</f>
        <v>4.9060000000000006</v>
      </c>
    </row>
    <row r="393" spans="1:10" x14ac:dyDescent="0.3">
      <c r="A393" t="s">
        <v>429</v>
      </c>
      <c r="B393" t="s">
        <v>50</v>
      </c>
      <c r="C393">
        <v>41</v>
      </c>
      <c r="D393" t="s">
        <v>18</v>
      </c>
      <c r="E393" t="str">
        <f>IF(Churn_part[[#This Row],[Type_Forfait]]="Pro Monde", "B2B", "B2C")</f>
        <v>B2C</v>
      </c>
      <c r="F393">
        <v>425</v>
      </c>
      <c r="G393" s="8">
        <v>42.33</v>
      </c>
      <c r="H393">
        <v>3</v>
      </c>
      <c r="I39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93" s="8">
        <f>Churn_part[[#This Row],[Facture_Mensuelle]]*Churn_part[[#This Row],[Remise Client]]</f>
        <v>19.048500000000001</v>
      </c>
    </row>
    <row r="394" spans="1:10" x14ac:dyDescent="0.3">
      <c r="A394" t="s">
        <v>430</v>
      </c>
      <c r="B394" t="s">
        <v>12</v>
      </c>
      <c r="C394">
        <v>97</v>
      </c>
      <c r="D394" t="s">
        <v>13</v>
      </c>
      <c r="E394" t="str">
        <f>IF(Churn_part[[#This Row],[Type_Forfait]]="Pro Monde", "B2B", "B2C")</f>
        <v>B2B</v>
      </c>
      <c r="F394">
        <v>276</v>
      </c>
      <c r="G394" s="8">
        <v>88.35</v>
      </c>
      <c r="H394">
        <v>0</v>
      </c>
      <c r="I39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94" s="8">
        <f>Churn_part[[#This Row],[Facture_Mensuelle]]*Churn_part[[#This Row],[Remise Client]]</f>
        <v>8.8349999999999991</v>
      </c>
    </row>
    <row r="395" spans="1:10" x14ac:dyDescent="0.3">
      <c r="A395" t="s">
        <v>431</v>
      </c>
      <c r="B395" t="s">
        <v>59</v>
      </c>
      <c r="C395">
        <v>50</v>
      </c>
      <c r="D395" t="s">
        <v>18</v>
      </c>
      <c r="E395" t="str">
        <f>IF(Churn_part[[#This Row],[Type_Forfait]]="Pro Monde", "B2B", "B2C")</f>
        <v>B2C</v>
      </c>
      <c r="F395">
        <v>435</v>
      </c>
      <c r="G395" s="8">
        <v>27.86</v>
      </c>
      <c r="H395">
        <v>3</v>
      </c>
      <c r="I39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95" s="8">
        <f>Churn_part[[#This Row],[Facture_Mensuelle]]*Churn_part[[#This Row],[Remise Client]]</f>
        <v>12.537000000000001</v>
      </c>
    </row>
    <row r="396" spans="1:10" x14ac:dyDescent="0.3">
      <c r="A396" t="s">
        <v>432</v>
      </c>
      <c r="B396" t="s">
        <v>9</v>
      </c>
      <c r="C396">
        <v>24</v>
      </c>
      <c r="D396" t="s">
        <v>21</v>
      </c>
      <c r="E396" t="str">
        <f>IF(Churn_part[[#This Row],[Type_Forfait]]="Pro Monde", "B2B", "B2C")</f>
        <v>B2C</v>
      </c>
      <c r="F396">
        <v>392</v>
      </c>
      <c r="G396" s="8">
        <v>27.06</v>
      </c>
      <c r="H396">
        <v>1</v>
      </c>
      <c r="I39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96" s="8">
        <f>Churn_part[[#This Row],[Facture_Mensuelle]]*Churn_part[[#This Row],[Remise Client]]</f>
        <v>12.177</v>
      </c>
    </row>
    <row r="397" spans="1:10" x14ac:dyDescent="0.3">
      <c r="A397" t="s">
        <v>433</v>
      </c>
      <c r="B397" t="s">
        <v>39</v>
      </c>
      <c r="C397">
        <v>45</v>
      </c>
      <c r="D397" t="s">
        <v>18</v>
      </c>
      <c r="E397" t="str">
        <f>IF(Churn_part[[#This Row],[Type_Forfait]]="Pro Monde", "B2B", "B2C")</f>
        <v>B2C</v>
      </c>
      <c r="F397">
        <v>439</v>
      </c>
      <c r="G397" s="8">
        <v>13.62</v>
      </c>
      <c r="H397">
        <v>4</v>
      </c>
      <c r="I39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397" s="8">
        <f>Churn_part[[#This Row],[Facture_Mensuelle]]*Churn_part[[#This Row],[Remise Client]]</f>
        <v>6.1289999999999996</v>
      </c>
    </row>
    <row r="398" spans="1:10" x14ac:dyDescent="0.3">
      <c r="A398" t="s">
        <v>434</v>
      </c>
      <c r="B398" t="s">
        <v>77</v>
      </c>
      <c r="C398">
        <v>104</v>
      </c>
      <c r="D398" t="s">
        <v>13</v>
      </c>
      <c r="E398" t="str">
        <f>IF(Churn_part[[#This Row],[Type_Forfait]]="Pro Monde", "B2B", "B2C")</f>
        <v>B2B</v>
      </c>
      <c r="F398">
        <v>60</v>
      </c>
      <c r="G398" s="8">
        <v>45.51</v>
      </c>
      <c r="H398">
        <v>1</v>
      </c>
      <c r="I39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398" s="8">
        <f>Churn_part[[#This Row],[Facture_Mensuelle]]*Churn_part[[#This Row],[Remise Client]]</f>
        <v>4.5510000000000002</v>
      </c>
    </row>
    <row r="399" spans="1:10" x14ac:dyDescent="0.3">
      <c r="A399" t="s">
        <v>435</v>
      </c>
      <c r="B399" t="s">
        <v>15</v>
      </c>
      <c r="C399">
        <v>95</v>
      </c>
      <c r="D399" t="s">
        <v>10</v>
      </c>
      <c r="E399" t="str">
        <f>IF(Churn_part[[#This Row],[Type_Forfait]]="Pro Monde", "B2B", "B2C")</f>
        <v>B2C</v>
      </c>
      <c r="F399">
        <v>148</v>
      </c>
      <c r="G399" s="8">
        <v>76.95</v>
      </c>
      <c r="H399">
        <v>5</v>
      </c>
      <c r="I39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399" s="8">
        <f>Churn_part[[#This Row],[Facture_Mensuelle]]*Churn_part[[#This Row],[Remise Client]]</f>
        <v>0</v>
      </c>
    </row>
    <row r="400" spans="1:10" x14ac:dyDescent="0.3">
      <c r="A400" t="s">
        <v>436</v>
      </c>
      <c r="B400" t="s">
        <v>50</v>
      </c>
      <c r="C400">
        <v>83</v>
      </c>
      <c r="D400" t="s">
        <v>10</v>
      </c>
      <c r="E400" t="str">
        <f>IF(Churn_part[[#This Row],[Type_Forfait]]="Pro Monde", "B2B", "B2C")</f>
        <v>B2C</v>
      </c>
      <c r="F400">
        <v>105</v>
      </c>
      <c r="G400" s="8">
        <v>20.46</v>
      </c>
      <c r="H400">
        <v>1</v>
      </c>
      <c r="I40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00" s="8">
        <f>Churn_part[[#This Row],[Facture_Mensuelle]]*Churn_part[[#This Row],[Remise Client]]</f>
        <v>0</v>
      </c>
    </row>
    <row r="401" spans="1:10" x14ac:dyDescent="0.3">
      <c r="A401" t="s">
        <v>437</v>
      </c>
      <c r="B401" t="s">
        <v>66</v>
      </c>
      <c r="C401">
        <v>7</v>
      </c>
      <c r="D401" t="s">
        <v>21</v>
      </c>
      <c r="E401" t="str">
        <f>IF(Churn_part[[#This Row],[Type_Forfait]]="Pro Monde", "B2B", "B2C")</f>
        <v>B2C</v>
      </c>
      <c r="F401">
        <v>94</v>
      </c>
      <c r="G401" s="8">
        <v>68.38</v>
      </c>
      <c r="H401">
        <v>3</v>
      </c>
      <c r="I40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01" s="8">
        <f>Churn_part[[#This Row],[Facture_Mensuelle]]*Churn_part[[#This Row],[Remise Client]]</f>
        <v>0</v>
      </c>
    </row>
    <row r="402" spans="1:10" x14ac:dyDescent="0.3">
      <c r="A402" t="s">
        <v>438</v>
      </c>
      <c r="B402" t="s">
        <v>36</v>
      </c>
      <c r="C402">
        <v>39</v>
      </c>
      <c r="D402" t="s">
        <v>10</v>
      </c>
      <c r="E402" t="str">
        <f>IF(Churn_part[[#This Row],[Type_Forfait]]="Pro Monde", "B2B", "B2C")</f>
        <v>B2C</v>
      </c>
      <c r="F402">
        <v>1</v>
      </c>
      <c r="G402" s="8">
        <v>66.94</v>
      </c>
      <c r="H402">
        <v>5</v>
      </c>
      <c r="I40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02" s="8">
        <f>Churn_part[[#This Row],[Facture_Mensuelle]]*Churn_part[[#This Row],[Remise Client]]</f>
        <v>0</v>
      </c>
    </row>
    <row r="403" spans="1:10" x14ac:dyDescent="0.3">
      <c r="A403" t="s">
        <v>439</v>
      </c>
      <c r="B403" t="s">
        <v>56</v>
      </c>
      <c r="C403">
        <v>15</v>
      </c>
      <c r="D403" t="s">
        <v>21</v>
      </c>
      <c r="E403" t="str">
        <f>IF(Churn_part[[#This Row],[Type_Forfait]]="Pro Monde", "B2B", "B2C")</f>
        <v>B2C</v>
      </c>
      <c r="F403">
        <v>81</v>
      </c>
      <c r="G403" s="8">
        <v>97.5</v>
      </c>
      <c r="H403">
        <v>4</v>
      </c>
      <c r="I40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03" s="8">
        <f>Churn_part[[#This Row],[Facture_Mensuelle]]*Churn_part[[#This Row],[Remise Client]]</f>
        <v>0</v>
      </c>
    </row>
    <row r="404" spans="1:10" x14ac:dyDescent="0.3">
      <c r="A404" t="s">
        <v>440</v>
      </c>
      <c r="B404" t="s">
        <v>12</v>
      </c>
      <c r="C404">
        <v>35</v>
      </c>
      <c r="D404" t="s">
        <v>13</v>
      </c>
      <c r="E404" t="str">
        <f>IF(Churn_part[[#This Row],[Type_Forfait]]="Pro Monde", "B2B", "B2C")</f>
        <v>B2B</v>
      </c>
      <c r="F404">
        <v>292</v>
      </c>
      <c r="G404" s="8">
        <v>39.21</v>
      </c>
      <c r="H404">
        <v>1</v>
      </c>
      <c r="I40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04" s="8">
        <f>Churn_part[[#This Row],[Facture_Mensuelle]]*Churn_part[[#This Row],[Remise Client]]</f>
        <v>3.9210000000000003</v>
      </c>
    </row>
    <row r="405" spans="1:10" x14ac:dyDescent="0.3">
      <c r="A405" t="s">
        <v>441</v>
      </c>
      <c r="B405" t="s">
        <v>9</v>
      </c>
      <c r="C405">
        <v>47</v>
      </c>
      <c r="D405" t="s">
        <v>18</v>
      </c>
      <c r="E405" t="str">
        <f>IF(Churn_part[[#This Row],[Type_Forfait]]="Pro Monde", "B2B", "B2C")</f>
        <v>B2C</v>
      </c>
      <c r="F405">
        <v>111</v>
      </c>
      <c r="G405" s="8">
        <v>95.18</v>
      </c>
      <c r="H405">
        <v>0</v>
      </c>
      <c r="I40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05" s="8">
        <f>Churn_part[[#This Row],[Facture_Mensuelle]]*Churn_part[[#This Row],[Remise Client]]</f>
        <v>0</v>
      </c>
    </row>
    <row r="406" spans="1:10" x14ac:dyDescent="0.3">
      <c r="A406" t="s">
        <v>442</v>
      </c>
      <c r="B406" t="s">
        <v>32</v>
      </c>
      <c r="C406">
        <v>36</v>
      </c>
      <c r="D406" t="s">
        <v>18</v>
      </c>
      <c r="E406" t="str">
        <f>IF(Churn_part[[#This Row],[Type_Forfait]]="Pro Monde", "B2B", "B2C")</f>
        <v>B2C</v>
      </c>
      <c r="F406">
        <v>303</v>
      </c>
      <c r="G406" s="8">
        <v>89.56</v>
      </c>
      <c r="H406">
        <v>1</v>
      </c>
      <c r="I40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06" s="8">
        <f>Churn_part[[#This Row],[Facture_Mensuelle]]*Churn_part[[#This Row],[Remise Client]]</f>
        <v>40.302</v>
      </c>
    </row>
    <row r="407" spans="1:10" x14ac:dyDescent="0.3">
      <c r="A407" t="s">
        <v>443</v>
      </c>
      <c r="B407" t="s">
        <v>25</v>
      </c>
      <c r="C407">
        <v>45</v>
      </c>
      <c r="D407" t="s">
        <v>21</v>
      </c>
      <c r="E407" t="str">
        <f>IF(Churn_part[[#This Row],[Type_Forfait]]="Pro Monde", "B2B", "B2C")</f>
        <v>B2C</v>
      </c>
      <c r="F407">
        <v>356</v>
      </c>
      <c r="G407" s="8">
        <v>33.76</v>
      </c>
      <c r="H407">
        <v>0</v>
      </c>
      <c r="I40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07" s="8">
        <f>Churn_part[[#This Row],[Facture_Mensuelle]]*Churn_part[[#This Row],[Remise Client]]</f>
        <v>15.192</v>
      </c>
    </row>
    <row r="408" spans="1:10" x14ac:dyDescent="0.3">
      <c r="A408" t="s">
        <v>444</v>
      </c>
      <c r="B408" t="s">
        <v>36</v>
      </c>
      <c r="C408">
        <v>92</v>
      </c>
      <c r="D408" t="s">
        <v>18</v>
      </c>
      <c r="E408" t="str">
        <f>IF(Churn_part[[#This Row],[Type_Forfait]]="Pro Monde", "B2B", "B2C")</f>
        <v>B2C</v>
      </c>
      <c r="F408">
        <v>4</v>
      </c>
      <c r="G408" s="8">
        <v>22.03</v>
      </c>
      <c r="H408">
        <v>3</v>
      </c>
      <c r="I40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08" s="8">
        <f>Churn_part[[#This Row],[Facture_Mensuelle]]*Churn_part[[#This Row],[Remise Client]]</f>
        <v>0</v>
      </c>
    </row>
    <row r="409" spans="1:10" x14ac:dyDescent="0.3">
      <c r="A409" t="s">
        <v>445</v>
      </c>
      <c r="B409" t="s">
        <v>23</v>
      </c>
      <c r="C409">
        <v>54</v>
      </c>
      <c r="D409" t="s">
        <v>18</v>
      </c>
      <c r="E409" t="str">
        <f>IF(Churn_part[[#This Row],[Type_Forfait]]="Pro Monde", "B2B", "B2C")</f>
        <v>B2C</v>
      </c>
      <c r="F409">
        <v>450</v>
      </c>
      <c r="G409" s="8">
        <v>90.85</v>
      </c>
      <c r="H409">
        <v>1</v>
      </c>
      <c r="I40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09" s="8">
        <f>Churn_part[[#This Row],[Facture_Mensuelle]]*Churn_part[[#This Row],[Remise Client]]</f>
        <v>40.8825</v>
      </c>
    </row>
    <row r="410" spans="1:10" x14ac:dyDescent="0.3">
      <c r="A410" t="s">
        <v>446</v>
      </c>
      <c r="B410" t="s">
        <v>23</v>
      </c>
      <c r="C410">
        <v>32</v>
      </c>
      <c r="D410" t="s">
        <v>21</v>
      </c>
      <c r="E410" t="str">
        <f>IF(Churn_part[[#This Row],[Type_Forfait]]="Pro Monde", "B2B", "B2C")</f>
        <v>B2C</v>
      </c>
      <c r="F410">
        <v>475</v>
      </c>
      <c r="G410" s="8">
        <v>36.54</v>
      </c>
      <c r="H410">
        <v>3</v>
      </c>
      <c r="I41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10" s="8">
        <f>Churn_part[[#This Row],[Facture_Mensuelle]]*Churn_part[[#This Row],[Remise Client]]</f>
        <v>16.443000000000001</v>
      </c>
    </row>
    <row r="411" spans="1:10" x14ac:dyDescent="0.3">
      <c r="A411" t="s">
        <v>447</v>
      </c>
      <c r="B411" t="s">
        <v>50</v>
      </c>
      <c r="C411">
        <v>41</v>
      </c>
      <c r="D411" t="s">
        <v>21</v>
      </c>
      <c r="E411" t="str">
        <f>IF(Churn_part[[#This Row],[Type_Forfait]]="Pro Monde", "B2B", "B2C")</f>
        <v>B2C</v>
      </c>
      <c r="F411">
        <v>404</v>
      </c>
      <c r="G411" s="8">
        <v>98.67</v>
      </c>
      <c r="H411">
        <v>5</v>
      </c>
      <c r="I41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11" s="8">
        <f>Churn_part[[#This Row],[Facture_Mensuelle]]*Churn_part[[#This Row],[Remise Client]]</f>
        <v>44.401499999999999</v>
      </c>
    </row>
    <row r="412" spans="1:10" x14ac:dyDescent="0.3">
      <c r="A412" t="s">
        <v>448</v>
      </c>
      <c r="B412" t="s">
        <v>36</v>
      </c>
      <c r="C412">
        <v>115</v>
      </c>
      <c r="D412" t="s">
        <v>13</v>
      </c>
      <c r="E412" t="str">
        <f>IF(Churn_part[[#This Row],[Type_Forfait]]="Pro Monde", "B2B", "B2C")</f>
        <v>B2B</v>
      </c>
      <c r="F412">
        <v>262</v>
      </c>
      <c r="G412" s="8">
        <v>66.34</v>
      </c>
      <c r="H412">
        <v>3</v>
      </c>
      <c r="I41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12" s="8">
        <f>Churn_part[[#This Row],[Facture_Mensuelle]]*Churn_part[[#This Row],[Remise Client]]</f>
        <v>6.6340000000000003</v>
      </c>
    </row>
    <row r="413" spans="1:10" x14ac:dyDescent="0.3">
      <c r="A413" t="s">
        <v>449</v>
      </c>
      <c r="B413" t="s">
        <v>17</v>
      </c>
      <c r="C413">
        <v>7</v>
      </c>
      <c r="D413" t="s">
        <v>18</v>
      </c>
      <c r="E413" t="str">
        <f>IF(Churn_part[[#This Row],[Type_Forfait]]="Pro Monde", "B2B", "B2C")</f>
        <v>B2C</v>
      </c>
      <c r="F413">
        <v>233</v>
      </c>
      <c r="G413" s="8">
        <v>10.94</v>
      </c>
      <c r="H413">
        <v>0</v>
      </c>
      <c r="I41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13" s="8">
        <f>Churn_part[[#This Row],[Facture_Mensuelle]]*Churn_part[[#This Row],[Remise Client]]</f>
        <v>0</v>
      </c>
    </row>
    <row r="414" spans="1:10" x14ac:dyDescent="0.3">
      <c r="A414" t="s">
        <v>450</v>
      </c>
      <c r="B414" t="s">
        <v>72</v>
      </c>
      <c r="C414">
        <v>24</v>
      </c>
      <c r="D414" t="s">
        <v>18</v>
      </c>
      <c r="E414" t="str">
        <f>IF(Churn_part[[#This Row],[Type_Forfait]]="Pro Monde", "B2B", "B2C")</f>
        <v>B2C</v>
      </c>
      <c r="F414">
        <v>257</v>
      </c>
      <c r="G414" s="8">
        <v>41.99</v>
      </c>
      <c r="H414">
        <v>5</v>
      </c>
      <c r="I41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14" s="8">
        <f>Churn_part[[#This Row],[Facture_Mensuelle]]*Churn_part[[#This Row],[Remise Client]]</f>
        <v>18.895500000000002</v>
      </c>
    </row>
    <row r="415" spans="1:10" x14ac:dyDescent="0.3">
      <c r="A415" t="s">
        <v>451</v>
      </c>
      <c r="B415" t="s">
        <v>30</v>
      </c>
      <c r="C415">
        <v>6</v>
      </c>
      <c r="D415" t="s">
        <v>10</v>
      </c>
      <c r="E415" t="str">
        <f>IF(Churn_part[[#This Row],[Type_Forfait]]="Pro Monde", "B2B", "B2C")</f>
        <v>B2C</v>
      </c>
      <c r="F415">
        <v>362</v>
      </c>
      <c r="G415" s="8">
        <v>75.739999999999995</v>
      </c>
      <c r="H415">
        <v>4</v>
      </c>
      <c r="I41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15" s="8">
        <f>Churn_part[[#This Row],[Facture_Mensuelle]]*Churn_part[[#This Row],[Remise Client]]</f>
        <v>34.082999999999998</v>
      </c>
    </row>
    <row r="416" spans="1:10" x14ac:dyDescent="0.3">
      <c r="A416" t="s">
        <v>452</v>
      </c>
      <c r="B416" t="s">
        <v>28</v>
      </c>
      <c r="C416">
        <v>1</v>
      </c>
      <c r="D416" t="s">
        <v>10</v>
      </c>
      <c r="E416" t="str">
        <f>IF(Churn_part[[#This Row],[Type_Forfait]]="Pro Monde", "B2B", "B2C")</f>
        <v>B2C</v>
      </c>
      <c r="F416">
        <v>368</v>
      </c>
      <c r="G416" s="8">
        <v>35.17</v>
      </c>
      <c r="H416">
        <v>1</v>
      </c>
      <c r="I41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16" s="8">
        <f>Churn_part[[#This Row],[Facture_Mensuelle]]*Churn_part[[#This Row],[Remise Client]]</f>
        <v>15.826500000000001</v>
      </c>
    </row>
    <row r="417" spans="1:10" x14ac:dyDescent="0.3">
      <c r="A417" t="s">
        <v>453</v>
      </c>
      <c r="B417" t="s">
        <v>32</v>
      </c>
      <c r="C417">
        <v>7</v>
      </c>
      <c r="D417" t="s">
        <v>13</v>
      </c>
      <c r="E417" t="str">
        <f>IF(Churn_part[[#This Row],[Type_Forfait]]="Pro Monde", "B2B", "B2C")</f>
        <v>B2B</v>
      </c>
      <c r="F417">
        <v>268</v>
      </c>
      <c r="G417" s="8">
        <v>33.04</v>
      </c>
      <c r="H417">
        <v>5</v>
      </c>
      <c r="I41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17" s="8">
        <f>Churn_part[[#This Row],[Facture_Mensuelle]]*Churn_part[[#This Row],[Remise Client]]</f>
        <v>3.3040000000000003</v>
      </c>
    </row>
    <row r="418" spans="1:10" x14ac:dyDescent="0.3">
      <c r="A418" t="s">
        <v>454</v>
      </c>
      <c r="B418" t="s">
        <v>87</v>
      </c>
      <c r="C418">
        <v>85</v>
      </c>
      <c r="D418" t="s">
        <v>21</v>
      </c>
      <c r="E418" t="str">
        <f>IF(Churn_part[[#This Row],[Type_Forfait]]="Pro Monde", "B2B", "B2C")</f>
        <v>B2C</v>
      </c>
      <c r="F418">
        <v>132</v>
      </c>
      <c r="G418" s="8">
        <v>11.41</v>
      </c>
      <c r="H418">
        <v>0</v>
      </c>
      <c r="I41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18" s="8">
        <f>Churn_part[[#This Row],[Facture_Mensuelle]]*Churn_part[[#This Row],[Remise Client]]</f>
        <v>0</v>
      </c>
    </row>
    <row r="419" spans="1:10" x14ac:dyDescent="0.3">
      <c r="A419" t="s">
        <v>455</v>
      </c>
      <c r="B419" t="s">
        <v>15</v>
      </c>
      <c r="C419">
        <v>96</v>
      </c>
      <c r="D419" t="s">
        <v>21</v>
      </c>
      <c r="E419" t="str">
        <f>IF(Churn_part[[#This Row],[Type_Forfait]]="Pro Monde", "B2B", "B2C")</f>
        <v>B2C</v>
      </c>
      <c r="F419">
        <v>155</v>
      </c>
      <c r="G419" s="8">
        <v>69.16</v>
      </c>
      <c r="H419">
        <v>4</v>
      </c>
      <c r="I41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19" s="8">
        <f>Churn_part[[#This Row],[Facture_Mensuelle]]*Churn_part[[#This Row],[Remise Client]]</f>
        <v>0</v>
      </c>
    </row>
    <row r="420" spans="1:10" x14ac:dyDescent="0.3">
      <c r="A420" t="s">
        <v>456</v>
      </c>
      <c r="B420" t="s">
        <v>15</v>
      </c>
      <c r="C420">
        <v>42</v>
      </c>
      <c r="D420" t="s">
        <v>18</v>
      </c>
      <c r="E420" t="str">
        <f>IF(Churn_part[[#This Row],[Type_Forfait]]="Pro Monde", "B2B", "B2C")</f>
        <v>B2C</v>
      </c>
      <c r="F420">
        <v>436</v>
      </c>
      <c r="G420" s="8">
        <v>88.12</v>
      </c>
      <c r="H420">
        <v>0</v>
      </c>
      <c r="I42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20" s="8">
        <f>Churn_part[[#This Row],[Facture_Mensuelle]]*Churn_part[[#This Row],[Remise Client]]</f>
        <v>39.654000000000003</v>
      </c>
    </row>
    <row r="421" spans="1:10" x14ac:dyDescent="0.3">
      <c r="A421" t="s">
        <v>457</v>
      </c>
      <c r="B421" t="s">
        <v>43</v>
      </c>
      <c r="C421">
        <v>28</v>
      </c>
      <c r="D421" t="s">
        <v>21</v>
      </c>
      <c r="E421" t="str">
        <f>IF(Churn_part[[#This Row],[Type_Forfait]]="Pro Monde", "B2B", "B2C")</f>
        <v>B2C</v>
      </c>
      <c r="F421">
        <v>112</v>
      </c>
      <c r="G421" s="8">
        <v>94.51</v>
      </c>
      <c r="H421">
        <v>3</v>
      </c>
      <c r="I42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21" s="8">
        <f>Churn_part[[#This Row],[Facture_Mensuelle]]*Churn_part[[#This Row],[Remise Client]]</f>
        <v>0</v>
      </c>
    </row>
    <row r="422" spans="1:10" x14ac:dyDescent="0.3">
      <c r="A422" t="s">
        <v>458</v>
      </c>
      <c r="B422" t="s">
        <v>56</v>
      </c>
      <c r="C422">
        <v>37</v>
      </c>
      <c r="D422" t="s">
        <v>21</v>
      </c>
      <c r="E422" t="str">
        <f>IF(Churn_part[[#This Row],[Type_Forfait]]="Pro Monde", "B2B", "B2C")</f>
        <v>B2C</v>
      </c>
      <c r="F422">
        <v>151</v>
      </c>
      <c r="G422" s="8">
        <v>62.49</v>
      </c>
      <c r="H422">
        <v>3</v>
      </c>
      <c r="I42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22" s="8">
        <f>Churn_part[[#This Row],[Facture_Mensuelle]]*Churn_part[[#This Row],[Remise Client]]</f>
        <v>0</v>
      </c>
    </row>
    <row r="423" spans="1:10" x14ac:dyDescent="0.3">
      <c r="A423" t="s">
        <v>459</v>
      </c>
      <c r="B423" t="s">
        <v>50</v>
      </c>
      <c r="C423">
        <v>61</v>
      </c>
      <c r="D423" t="s">
        <v>13</v>
      </c>
      <c r="E423" t="str">
        <f>IF(Churn_part[[#This Row],[Type_Forfait]]="Pro Monde", "B2B", "B2C")</f>
        <v>B2B</v>
      </c>
      <c r="F423">
        <v>362</v>
      </c>
      <c r="G423" s="8">
        <v>75.03</v>
      </c>
      <c r="H423">
        <v>0</v>
      </c>
      <c r="I42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23" s="8">
        <f>Churn_part[[#This Row],[Facture_Mensuelle]]*Churn_part[[#This Row],[Remise Client]]</f>
        <v>7.5030000000000001</v>
      </c>
    </row>
    <row r="424" spans="1:10" x14ac:dyDescent="0.3">
      <c r="A424" t="s">
        <v>460</v>
      </c>
      <c r="B424" t="s">
        <v>43</v>
      </c>
      <c r="C424">
        <v>36</v>
      </c>
      <c r="D424" t="s">
        <v>10</v>
      </c>
      <c r="E424" t="str">
        <f>IF(Churn_part[[#This Row],[Type_Forfait]]="Pro Monde", "B2B", "B2C")</f>
        <v>B2C</v>
      </c>
      <c r="F424">
        <v>137</v>
      </c>
      <c r="G424" s="8">
        <v>71.930000000000007</v>
      </c>
      <c r="H424">
        <v>0</v>
      </c>
      <c r="I42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24" s="8">
        <f>Churn_part[[#This Row],[Facture_Mensuelle]]*Churn_part[[#This Row],[Remise Client]]</f>
        <v>0</v>
      </c>
    </row>
    <row r="425" spans="1:10" x14ac:dyDescent="0.3">
      <c r="A425" t="s">
        <v>461</v>
      </c>
      <c r="B425" t="s">
        <v>129</v>
      </c>
      <c r="C425">
        <v>117</v>
      </c>
      <c r="D425" t="s">
        <v>10</v>
      </c>
      <c r="E425" t="str">
        <f>IF(Churn_part[[#This Row],[Type_Forfait]]="Pro Monde", "B2B", "B2C")</f>
        <v>B2C</v>
      </c>
      <c r="F425">
        <v>282</v>
      </c>
      <c r="G425" s="8">
        <v>95.11</v>
      </c>
      <c r="H425">
        <v>0</v>
      </c>
      <c r="I42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25" s="8">
        <f>Churn_part[[#This Row],[Facture_Mensuelle]]*Churn_part[[#This Row],[Remise Client]]</f>
        <v>42.799500000000002</v>
      </c>
    </row>
    <row r="426" spans="1:10" x14ac:dyDescent="0.3">
      <c r="A426" t="s">
        <v>462</v>
      </c>
      <c r="B426" t="s">
        <v>61</v>
      </c>
      <c r="C426">
        <v>78</v>
      </c>
      <c r="D426" t="s">
        <v>10</v>
      </c>
      <c r="E426" t="str">
        <f>IF(Churn_part[[#This Row],[Type_Forfait]]="Pro Monde", "B2B", "B2C")</f>
        <v>B2C</v>
      </c>
      <c r="F426">
        <v>60</v>
      </c>
      <c r="G426" s="8">
        <v>33.159999999999997</v>
      </c>
      <c r="H426">
        <v>5</v>
      </c>
      <c r="I42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26" s="8">
        <f>Churn_part[[#This Row],[Facture_Mensuelle]]*Churn_part[[#This Row],[Remise Client]]</f>
        <v>0</v>
      </c>
    </row>
    <row r="427" spans="1:10" x14ac:dyDescent="0.3">
      <c r="A427" t="s">
        <v>463</v>
      </c>
      <c r="B427" t="s">
        <v>66</v>
      </c>
      <c r="C427">
        <v>13</v>
      </c>
      <c r="D427" t="s">
        <v>13</v>
      </c>
      <c r="E427" t="str">
        <f>IF(Churn_part[[#This Row],[Type_Forfait]]="Pro Monde", "B2B", "B2C")</f>
        <v>B2B</v>
      </c>
      <c r="F427">
        <v>87</v>
      </c>
      <c r="G427" s="8">
        <v>66.36</v>
      </c>
      <c r="H427">
        <v>0</v>
      </c>
      <c r="I42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27" s="8">
        <f>Churn_part[[#This Row],[Facture_Mensuelle]]*Churn_part[[#This Row],[Remise Client]]</f>
        <v>6.6360000000000001</v>
      </c>
    </row>
    <row r="428" spans="1:10" x14ac:dyDescent="0.3">
      <c r="A428" t="s">
        <v>464</v>
      </c>
      <c r="B428" t="s">
        <v>32</v>
      </c>
      <c r="C428">
        <v>56</v>
      </c>
      <c r="D428" t="s">
        <v>18</v>
      </c>
      <c r="E428" t="str">
        <f>IF(Churn_part[[#This Row],[Type_Forfait]]="Pro Monde", "B2B", "B2C")</f>
        <v>B2C</v>
      </c>
      <c r="F428">
        <v>114</v>
      </c>
      <c r="G428" s="8">
        <v>64.39</v>
      </c>
      <c r="H428">
        <v>1</v>
      </c>
      <c r="I42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28" s="8">
        <f>Churn_part[[#This Row],[Facture_Mensuelle]]*Churn_part[[#This Row],[Remise Client]]</f>
        <v>0</v>
      </c>
    </row>
    <row r="429" spans="1:10" x14ac:dyDescent="0.3">
      <c r="A429" t="s">
        <v>465</v>
      </c>
      <c r="B429" t="s">
        <v>43</v>
      </c>
      <c r="C429">
        <v>24</v>
      </c>
      <c r="D429" t="s">
        <v>13</v>
      </c>
      <c r="E429" t="str">
        <f>IF(Churn_part[[#This Row],[Type_Forfait]]="Pro Monde", "B2B", "B2C")</f>
        <v>B2B</v>
      </c>
      <c r="F429">
        <v>23</v>
      </c>
      <c r="G429" s="8">
        <v>28.55</v>
      </c>
      <c r="H429">
        <v>1</v>
      </c>
      <c r="I42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29" s="8">
        <f>Churn_part[[#This Row],[Facture_Mensuelle]]*Churn_part[[#This Row],[Remise Client]]</f>
        <v>2.8550000000000004</v>
      </c>
    </row>
    <row r="430" spans="1:10" x14ac:dyDescent="0.3">
      <c r="A430" t="s">
        <v>466</v>
      </c>
      <c r="B430" t="s">
        <v>9</v>
      </c>
      <c r="C430">
        <v>33</v>
      </c>
      <c r="D430" t="s">
        <v>18</v>
      </c>
      <c r="E430" t="str">
        <f>IF(Churn_part[[#This Row],[Type_Forfait]]="Pro Monde", "B2B", "B2C")</f>
        <v>B2C</v>
      </c>
      <c r="F430">
        <v>273</v>
      </c>
      <c r="G430" s="8">
        <v>49.8</v>
      </c>
      <c r="H430">
        <v>0</v>
      </c>
      <c r="I43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30" s="8">
        <f>Churn_part[[#This Row],[Facture_Mensuelle]]*Churn_part[[#This Row],[Remise Client]]</f>
        <v>22.41</v>
      </c>
    </row>
    <row r="431" spans="1:10" x14ac:dyDescent="0.3">
      <c r="A431" t="s">
        <v>467</v>
      </c>
      <c r="B431" t="s">
        <v>63</v>
      </c>
      <c r="C431">
        <v>63</v>
      </c>
      <c r="D431" t="s">
        <v>13</v>
      </c>
      <c r="E431" t="str">
        <f>IF(Churn_part[[#This Row],[Type_Forfait]]="Pro Monde", "B2B", "B2C")</f>
        <v>B2B</v>
      </c>
      <c r="F431">
        <v>121</v>
      </c>
      <c r="G431" s="8">
        <v>39.18</v>
      </c>
      <c r="H431">
        <v>2</v>
      </c>
      <c r="I43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31" s="8">
        <f>Churn_part[[#This Row],[Facture_Mensuelle]]*Churn_part[[#This Row],[Remise Client]]</f>
        <v>3.9180000000000001</v>
      </c>
    </row>
    <row r="432" spans="1:10" x14ac:dyDescent="0.3">
      <c r="A432" t="s">
        <v>468</v>
      </c>
      <c r="B432" t="s">
        <v>30</v>
      </c>
      <c r="C432">
        <v>47</v>
      </c>
      <c r="D432" t="s">
        <v>13</v>
      </c>
      <c r="E432" t="str">
        <f>IF(Churn_part[[#This Row],[Type_Forfait]]="Pro Monde", "B2B", "B2C")</f>
        <v>B2B</v>
      </c>
      <c r="F432">
        <v>149</v>
      </c>
      <c r="G432" s="8">
        <v>28.35</v>
      </c>
      <c r="H432">
        <v>1</v>
      </c>
      <c r="I43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32" s="8">
        <f>Churn_part[[#This Row],[Facture_Mensuelle]]*Churn_part[[#This Row],[Remise Client]]</f>
        <v>2.8350000000000004</v>
      </c>
    </row>
    <row r="433" spans="1:10" x14ac:dyDescent="0.3">
      <c r="A433" t="s">
        <v>469</v>
      </c>
      <c r="B433" t="s">
        <v>32</v>
      </c>
      <c r="C433">
        <v>43</v>
      </c>
      <c r="D433" t="s">
        <v>18</v>
      </c>
      <c r="E433" t="str">
        <f>IF(Churn_part[[#This Row],[Type_Forfait]]="Pro Monde", "B2B", "B2C")</f>
        <v>B2C</v>
      </c>
      <c r="F433">
        <v>20</v>
      </c>
      <c r="G433" s="8">
        <v>66.680000000000007</v>
      </c>
      <c r="H433">
        <v>5</v>
      </c>
      <c r="I43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33" s="8">
        <f>Churn_part[[#This Row],[Facture_Mensuelle]]*Churn_part[[#This Row],[Remise Client]]</f>
        <v>0</v>
      </c>
    </row>
    <row r="434" spans="1:10" x14ac:dyDescent="0.3">
      <c r="A434" t="s">
        <v>470</v>
      </c>
      <c r="B434" t="s">
        <v>39</v>
      </c>
      <c r="C434">
        <v>39</v>
      </c>
      <c r="D434" t="s">
        <v>21</v>
      </c>
      <c r="E434" t="str">
        <f>IF(Churn_part[[#This Row],[Type_Forfait]]="Pro Monde", "B2B", "B2C")</f>
        <v>B2C</v>
      </c>
      <c r="F434">
        <v>327</v>
      </c>
      <c r="G434" s="8">
        <v>87.24</v>
      </c>
      <c r="H434">
        <v>4</v>
      </c>
      <c r="I43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34" s="8">
        <f>Churn_part[[#This Row],[Facture_Mensuelle]]*Churn_part[[#This Row],[Remise Client]]</f>
        <v>39.257999999999996</v>
      </c>
    </row>
    <row r="435" spans="1:10" x14ac:dyDescent="0.3">
      <c r="A435" t="s">
        <v>471</v>
      </c>
      <c r="B435" t="s">
        <v>61</v>
      </c>
      <c r="C435">
        <v>15</v>
      </c>
      <c r="D435" t="s">
        <v>10</v>
      </c>
      <c r="E435" t="str">
        <f>IF(Churn_part[[#This Row],[Type_Forfait]]="Pro Monde", "B2B", "B2C")</f>
        <v>B2C</v>
      </c>
      <c r="F435">
        <v>75</v>
      </c>
      <c r="G435" s="8">
        <v>45.59</v>
      </c>
      <c r="H435">
        <v>0</v>
      </c>
      <c r="I43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35" s="8">
        <f>Churn_part[[#This Row],[Facture_Mensuelle]]*Churn_part[[#This Row],[Remise Client]]</f>
        <v>0</v>
      </c>
    </row>
    <row r="436" spans="1:10" x14ac:dyDescent="0.3">
      <c r="A436" t="s">
        <v>472</v>
      </c>
      <c r="B436" t="s">
        <v>129</v>
      </c>
      <c r="C436">
        <v>13</v>
      </c>
      <c r="D436" t="s">
        <v>21</v>
      </c>
      <c r="E436" t="str">
        <f>IF(Churn_part[[#This Row],[Type_Forfait]]="Pro Monde", "B2B", "B2C")</f>
        <v>B2C</v>
      </c>
      <c r="F436">
        <v>482</v>
      </c>
      <c r="G436" s="8">
        <v>50.15</v>
      </c>
      <c r="H436">
        <v>0</v>
      </c>
      <c r="I43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36" s="8">
        <f>Churn_part[[#This Row],[Facture_Mensuelle]]*Churn_part[[#This Row],[Remise Client]]</f>
        <v>22.567499999999999</v>
      </c>
    </row>
    <row r="437" spans="1:10" x14ac:dyDescent="0.3">
      <c r="A437" t="s">
        <v>473</v>
      </c>
      <c r="B437" t="s">
        <v>9</v>
      </c>
      <c r="C437">
        <v>86</v>
      </c>
      <c r="D437" t="s">
        <v>10</v>
      </c>
      <c r="E437" t="str">
        <f>IF(Churn_part[[#This Row],[Type_Forfait]]="Pro Monde", "B2B", "B2C")</f>
        <v>B2C</v>
      </c>
      <c r="F437">
        <v>452</v>
      </c>
      <c r="G437" s="8">
        <v>75.680000000000007</v>
      </c>
      <c r="H437">
        <v>0</v>
      </c>
      <c r="I43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37" s="8">
        <f>Churn_part[[#This Row],[Facture_Mensuelle]]*Churn_part[[#This Row],[Remise Client]]</f>
        <v>34.056000000000004</v>
      </c>
    </row>
    <row r="438" spans="1:10" x14ac:dyDescent="0.3">
      <c r="A438" t="s">
        <v>474</v>
      </c>
      <c r="B438" t="s">
        <v>72</v>
      </c>
      <c r="C438">
        <v>2</v>
      </c>
      <c r="D438" t="s">
        <v>18</v>
      </c>
      <c r="E438" t="str">
        <f>IF(Churn_part[[#This Row],[Type_Forfait]]="Pro Monde", "B2B", "B2C")</f>
        <v>B2C</v>
      </c>
      <c r="F438">
        <v>142</v>
      </c>
      <c r="G438" s="8">
        <v>49.05</v>
      </c>
      <c r="H438">
        <v>4</v>
      </c>
      <c r="I43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38" s="8">
        <f>Churn_part[[#This Row],[Facture_Mensuelle]]*Churn_part[[#This Row],[Remise Client]]</f>
        <v>0</v>
      </c>
    </row>
    <row r="439" spans="1:10" x14ac:dyDescent="0.3">
      <c r="A439" t="s">
        <v>475</v>
      </c>
      <c r="B439" t="s">
        <v>34</v>
      </c>
      <c r="C439">
        <v>88</v>
      </c>
      <c r="D439" t="s">
        <v>18</v>
      </c>
      <c r="E439" t="str">
        <f>IF(Churn_part[[#This Row],[Type_Forfait]]="Pro Monde", "B2B", "B2C")</f>
        <v>B2C</v>
      </c>
      <c r="F439">
        <v>474</v>
      </c>
      <c r="G439" s="8">
        <v>23.35</v>
      </c>
      <c r="H439">
        <v>5</v>
      </c>
      <c r="I43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39" s="8">
        <f>Churn_part[[#This Row],[Facture_Mensuelle]]*Churn_part[[#This Row],[Remise Client]]</f>
        <v>10.5075</v>
      </c>
    </row>
    <row r="440" spans="1:10" x14ac:dyDescent="0.3">
      <c r="A440" t="s">
        <v>476</v>
      </c>
      <c r="B440" t="s">
        <v>36</v>
      </c>
      <c r="C440">
        <v>71</v>
      </c>
      <c r="D440" t="s">
        <v>21</v>
      </c>
      <c r="E440" t="str">
        <f>IF(Churn_part[[#This Row],[Type_Forfait]]="Pro Monde", "B2B", "B2C")</f>
        <v>B2C</v>
      </c>
      <c r="F440">
        <v>68</v>
      </c>
      <c r="G440" s="8">
        <v>53.11</v>
      </c>
      <c r="H440">
        <v>2</v>
      </c>
      <c r="I44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40" s="8">
        <f>Churn_part[[#This Row],[Facture_Mensuelle]]*Churn_part[[#This Row],[Remise Client]]</f>
        <v>0</v>
      </c>
    </row>
    <row r="441" spans="1:10" x14ac:dyDescent="0.3">
      <c r="A441" t="s">
        <v>477</v>
      </c>
      <c r="B441" t="s">
        <v>15</v>
      </c>
      <c r="C441">
        <v>99</v>
      </c>
      <c r="D441" t="s">
        <v>13</v>
      </c>
      <c r="E441" t="str">
        <f>IF(Churn_part[[#This Row],[Type_Forfait]]="Pro Monde", "B2B", "B2C")</f>
        <v>B2B</v>
      </c>
      <c r="F441">
        <v>138</v>
      </c>
      <c r="G441" s="8">
        <v>54.64</v>
      </c>
      <c r="H441">
        <v>5</v>
      </c>
      <c r="I44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41" s="8">
        <f>Churn_part[[#This Row],[Facture_Mensuelle]]*Churn_part[[#This Row],[Remise Client]]</f>
        <v>5.4640000000000004</v>
      </c>
    </row>
    <row r="442" spans="1:10" x14ac:dyDescent="0.3">
      <c r="A442" t="s">
        <v>478</v>
      </c>
      <c r="B442" t="s">
        <v>56</v>
      </c>
      <c r="C442">
        <v>111</v>
      </c>
      <c r="D442" t="s">
        <v>13</v>
      </c>
      <c r="E442" t="str">
        <f>IF(Churn_part[[#This Row],[Type_Forfait]]="Pro Monde", "B2B", "B2C")</f>
        <v>B2B</v>
      </c>
      <c r="F442">
        <v>447</v>
      </c>
      <c r="G442" s="8">
        <v>51.35</v>
      </c>
      <c r="H442">
        <v>0</v>
      </c>
      <c r="I44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42" s="8">
        <f>Churn_part[[#This Row],[Facture_Mensuelle]]*Churn_part[[#This Row],[Remise Client]]</f>
        <v>5.1350000000000007</v>
      </c>
    </row>
    <row r="443" spans="1:10" x14ac:dyDescent="0.3">
      <c r="A443" t="s">
        <v>479</v>
      </c>
      <c r="B443" t="s">
        <v>56</v>
      </c>
      <c r="C443">
        <v>17</v>
      </c>
      <c r="D443" t="s">
        <v>18</v>
      </c>
      <c r="E443" t="str">
        <f>IF(Churn_part[[#This Row],[Type_Forfait]]="Pro Monde", "B2B", "B2C")</f>
        <v>B2C</v>
      </c>
      <c r="F443">
        <v>404</v>
      </c>
      <c r="G443" s="8">
        <v>83.4</v>
      </c>
      <c r="H443">
        <v>1</v>
      </c>
      <c r="I44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43" s="8">
        <f>Churn_part[[#This Row],[Facture_Mensuelle]]*Churn_part[[#This Row],[Remise Client]]</f>
        <v>37.53</v>
      </c>
    </row>
    <row r="444" spans="1:10" x14ac:dyDescent="0.3">
      <c r="A444" t="s">
        <v>480</v>
      </c>
      <c r="B444" t="s">
        <v>77</v>
      </c>
      <c r="C444">
        <v>43</v>
      </c>
      <c r="D444" t="s">
        <v>21</v>
      </c>
      <c r="E444" t="str">
        <f>IF(Churn_part[[#This Row],[Type_Forfait]]="Pro Monde", "B2B", "B2C")</f>
        <v>B2C</v>
      </c>
      <c r="F444">
        <v>26</v>
      </c>
      <c r="G444" s="8">
        <v>25.85</v>
      </c>
      <c r="H444">
        <v>1</v>
      </c>
      <c r="I44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44" s="8">
        <f>Churn_part[[#This Row],[Facture_Mensuelle]]*Churn_part[[#This Row],[Remise Client]]</f>
        <v>0</v>
      </c>
    </row>
    <row r="445" spans="1:10" x14ac:dyDescent="0.3">
      <c r="A445" t="s">
        <v>481</v>
      </c>
      <c r="B445" t="s">
        <v>9</v>
      </c>
      <c r="C445">
        <v>47</v>
      </c>
      <c r="D445" t="s">
        <v>13</v>
      </c>
      <c r="E445" t="str">
        <f>IF(Churn_part[[#This Row],[Type_Forfait]]="Pro Monde", "B2B", "B2C")</f>
        <v>B2B</v>
      </c>
      <c r="F445">
        <v>328</v>
      </c>
      <c r="G445" s="8">
        <v>61.27</v>
      </c>
      <c r="H445">
        <v>3</v>
      </c>
      <c r="I44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45" s="8">
        <f>Churn_part[[#This Row],[Facture_Mensuelle]]*Churn_part[[#This Row],[Remise Client]]</f>
        <v>6.1270000000000007</v>
      </c>
    </row>
    <row r="446" spans="1:10" x14ac:dyDescent="0.3">
      <c r="A446" t="s">
        <v>482</v>
      </c>
      <c r="B446" t="s">
        <v>25</v>
      </c>
      <c r="C446">
        <v>95</v>
      </c>
      <c r="D446" t="s">
        <v>13</v>
      </c>
      <c r="E446" t="str">
        <f>IF(Churn_part[[#This Row],[Type_Forfait]]="Pro Monde", "B2B", "B2C")</f>
        <v>B2B</v>
      </c>
      <c r="F446">
        <v>127</v>
      </c>
      <c r="G446" s="8">
        <v>94.9</v>
      </c>
      <c r="H446">
        <v>4</v>
      </c>
      <c r="I44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46" s="8">
        <f>Churn_part[[#This Row],[Facture_Mensuelle]]*Churn_part[[#This Row],[Remise Client]]</f>
        <v>9.49</v>
      </c>
    </row>
    <row r="447" spans="1:10" x14ac:dyDescent="0.3">
      <c r="A447" t="s">
        <v>483</v>
      </c>
      <c r="B447" t="s">
        <v>61</v>
      </c>
      <c r="C447">
        <v>104</v>
      </c>
      <c r="D447" t="s">
        <v>13</v>
      </c>
      <c r="E447" t="str">
        <f>IF(Churn_part[[#This Row],[Type_Forfait]]="Pro Monde", "B2B", "B2C")</f>
        <v>B2B</v>
      </c>
      <c r="F447">
        <v>421</v>
      </c>
      <c r="G447" s="8">
        <v>26.24</v>
      </c>
      <c r="H447">
        <v>3</v>
      </c>
      <c r="I44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47" s="8">
        <f>Churn_part[[#This Row],[Facture_Mensuelle]]*Churn_part[[#This Row],[Remise Client]]</f>
        <v>2.6240000000000001</v>
      </c>
    </row>
    <row r="448" spans="1:10" x14ac:dyDescent="0.3">
      <c r="A448" t="s">
        <v>484</v>
      </c>
      <c r="B448" t="s">
        <v>72</v>
      </c>
      <c r="C448">
        <v>47</v>
      </c>
      <c r="D448" t="s">
        <v>13</v>
      </c>
      <c r="E448" t="str">
        <f>IF(Churn_part[[#This Row],[Type_Forfait]]="Pro Monde", "B2B", "B2C")</f>
        <v>B2B</v>
      </c>
      <c r="F448">
        <v>107</v>
      </c>
      <c r="G448" s="8">
        <v>35.380000000000003</v>
      </c>
      <c r="H448">
        <v>1</v>
      </c>
      <c r="I44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48" s="8">
        <f>Churn_part[[#This Row],[Facture_Mensuelle]]*Churn_part[[#This Row],[Remise Client]]</f>
        <v>3.5380000000000003</v>
      </c>
    </row>
    <row r="449" spans="1:10" x14ac:dyDescent="0.3">
      <c r="A449" t="s">
        <v>485</v>
      </c>
      <c r="B449" t="s">
        <v>9</v>
      </c>
      <c r="C449">
        <v>96</v>
      </c>
      <c r="D449" t="s">
        <v>10</v>
      </c>
      <c r="E449" t="str">
        <f>IF(Churn_part[[#This Row],[Type_Forfait]]="Pro Monde", "B2B", "B2C")</f>
        <v>B2C</v>
      </c>
      <c r="F449">
        <v>273</v>
      </c>
      <c r="G449" s="8">
        <v>37.909999999999997</v>
      </c>
      <c r="H449">
        <v>2</v>
      </c>
      <c r="I44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49" s="8">
        <f>Churn_part[[#This Row],[Facture_Mensuelle]]*Churn_part[[#This Row],[Remise Client]]</f>
        <v>17.0595</v>
      </c>
    </row>
    <row r="450" spans="1:10" x14ac:dyDescent="0.3">
      <c r="A450" t="s">
        <v>486</v>
      </c>
      <c r="B450" t="s">
        <v>59</v>
      </c>
      <c r="C450">
        <v>43</v>
      </c>
      <c r="D450" t="s">
        <v>10</v>
      </c>
      <c r="E450" t="str">
        <f>IF(Churn_part[[#This Row],[Type_Forfait]]="Pro Monde", "B2B", "B2C")</f>
        <v>B2C</v>
      </c>
      <c r="F450">
        <v>193</v>
      </c>
      <c r="G450" s="8">
        <v>35.81</v>
      </c>
      <c r="H450">
        <v>0</v>
      </c>
      <c r="I45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50" s="8">
        <f>Churn_part[[#This Row],[Facture_Mensuelle]]*Churn_part[[#This Row],[Remise Client]]</f>
        <v>0</v>
      </c>
    </row>
    <row r="451" spans="1:10" x14ac:dyDescent="0.3">
      <c r="A451" t="s">
        <v>487</v>
      </c>
      <c r="B451" t="s">
        <v>36</v>
      </c>
      <c r="C451">
        <v>77</v>
      </c>
      <c r="D451" t="s">
        <v>21</v>
      </c>
      <c r="E451" t="str">
        <f>IF(Churn_part[[#This Row],[Type_Forfait]]="Pro Monde", "B2B", "B2C")</f>
        <v>B2C</v>
      </c>
      <c r="F451">
        <v>375</v>
      </c>
      <c r="G451" s="8">
        <v>24.03</v>
      </c>
      <c r="H451">
        <v>1</v>
      </c>
      <c r="I45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51" s="8">
        <f>Churn_part[[#This Row],[Facture_Mensuelle]]*Churn_part[[#This Row],[Remise Client]]</f>
        <v>10.813500000000001</v>
      </c>
    </row>
    <row r="452" spans="1:10" x14ac:dyDescent="0.3">
      <c r="A452" t="s">
        <v>488</v>
      </c>
      <c r="B452" t="s">
        <v>66</v>
      </c>
      <c r="C452">
        <v>24</v>
      </c>
      <c r="D452" t="s">
        <v>18</v>
      </c>
      <c r="E452" t="str">
        <f>IF(Churn_part[[#This Row],[Type_Forfait]]="Pro Monde", "B2B", "B2C")</f>
        <v>B2C</v>
      </c>
      <c r="F452">
        <v>13</v>
      </c>
      <c r="G452" s="8">
        <v>89.3</v>
      </c>
      <c r="H452">
        <v>2</v>
      </c>
      <c r="I45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52" s="8">
        <f>Churn_part[[#This Row],[Facture_Mensuelle]]*Churn_part[[#This Row],[Remise Client]]</f>
        <v>0</v>
      </c>
    </row>
    <row r="453" spans="1:10" x14ac:dyDescent="0.3">
      <c r="A453" t="s">
        <v>489</v>
      </c>
      <c r="B453" t="s">
        <v>15</v>
      </c>
      <c r="C453">
        <v>87</v>
      </c>
      <c r="D453" t="s">
        <v>10</v>
      </c>
      <c r="E453" t="str">
        <f>IF(Churn_part[[#This Row],[Type_Forfait]]="Pro Monde", "B2B", "B2C")</f>
        <v>B2C</v>
      </c>
      <c r="F453">
        <v>356</v>
      </c>
      <c r="G453" s="8">
        <v>12.89</v>
      </c>
      <c r="H453">
        <v>0</v>
      </c>
      <c r="I45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53" s="8">
        <f>Churn_part[[#This Row],[Facture_Mensuelle]]*Churn_part[[#This Row],[Remise Client]]</f>
        <v>5.8005000000000004</v>
      </c>
    </row>
    <row r="454" spans="1:10" x14ac:dyDescent="0.3">
      <c r="A454" t="s">
        <v>490</v>
      </c>
      <c r="B454" t="s">
        <v>59</v>
      </c>
      <c r="C454">
        <v>55</v>
      </c>
      <c r="D454" t="s">
        <v>21</v>
      </c>
      <c r="E454" t="str">
        <f>IF(Churn_part[[#This Row],[Type_Forfait]]="Pro Monde", "B2B", "B2C")</f>
        <v>B2C</v>
      </c>
      <c r="F454">
        <v>494</v>
      </c>
      <c r="G454" s="8">
        <v>77.599999999999994</v>
      </c>
      <c r="H454">
        <v>4</v>
      </c>
      <c r="I45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54" s="8">
        <f>Churn_part[[#This Row],[Facture_Mensuelle]]*Churn_part[[#This Row],[Remise Client]]</f>
        <v>34.92</v>
      </c>
    </row>
    <row r="455" spans="1:10" x14ac:dyDescent="0.3">
      <c r="A455" t="s">
        <v>491</v>
      </c>
      <c r="B455" t="s">
        <v>50</v>
      </c>
      <c r="C455">
        <v>20</v>
      </c>
      <c r="D455" t="s">
        <v>21</v>
      </c>
      <c r="E455" t="str">
        <f>IF(Churn_part[[#This Row],[Type_Forfait]]="Pro Monde", "B2B", "B2C")</f>
        <v>B2C</v>
      </c>
      <c r="F455">
        <v>217</v>
      </c>
      <c r="G455" s="8">
        <v>55.3</v>
      </c>
      <c r="H455">
        <v>4</v>
      </c>
      <c r="I45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55" s="8">
        <f>Churn_part[[#This Row],[Facture_Mensuelle]]*Churn_part[[#This Row],[Remise Client]]</f>
        <v>0</v>
      </c>
    </row>
    <row r="456" spans="1:10" x14ac:dyDescent="0.3">
      <c r="A456" t="s">
        <v>492</v>
      </c>
      <c r="B456" t="s">
        <v>63</v>
      </c>
      <c r="C456">
        <v>115</v>
      </c>
      <c r="D456" t="s">
        <v>13</v>
      </c>
      <c r="E456" t="str">
        <f>IF(Churn_part[[#This Row],[Type_Forfait]]="Pro Monde", "B2B", "B2C")</f>
        <v>B2B</v>
      </c>
      <c r="F456">
        <v>190</v>
      </c>
      <c r="G456" s="8">
        <v>10.98</v>
      </c>
      <c r="H456">
        <v>0</v>
      </c>
      <c r="I45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56" s="8">
        <f>Churn_part[[#This Row],[Facture_Mensuelle]]*Churn_part[[#This Row],[Remise Client]]</f>
        <v>1.0980000000000001</v>
      </c>
    </row>
    <row r="457" spans="1:10" x14ac:dyDescent="0.3">
      <c r="A457" t="s">
        <v>493</v>
      </c>
      <c r="B457" t="s">
        <v>61</v>
      </c>
      <c r="C457">
        <v>86</v>
      </c>
      <c r="D457" t="s">
        <v>10</v>
      </c>
      <c r="E457" t="str">
        <f>IF(Churn_part[[#This Row],[Type_Forfait]]="Pro Monde", "B2B", "B2C")</f>
        <v>B2C</v>
      </c>
      <c r="F457">
        <v>27</v>
      </c>
      <c r="G457" s="8">
        <v>84.94</v>
      </c>
      <c r="H457">
        <v>4</v>
      </c>
      <c r="I45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57" s="8">
        <f>Churn_part[[#This Row],[Facture_Mensuelle]]*Churn_part[[#This Row],[Remise Client]]</f>
        <v>0</v>
      </c>
    </row>
    <row r="458" spans="1:10" x14ac:dyDescent="0.3">
      <c r="A458" t="s">
        <v>494</v>
      </c>
      <c r="B458" t="s">
        <v>50</v>
      </c>
      <c r="C458">
        <v>88</v>
      </c>
      <c r="D458" t="s">
        <v>10</v>
      </c>
      <c r="E458" t="str">
        <f>IF(Churn_part[[#This Row],[Type_Forfait]]="Pro Monde", "B2B", "B2C")</f>
        <v>B2C</v>
      </c>
      <c r="F458">
        <v>359</v>
      </c>
      <c r="G458" s="8">
        <v>71.19</v>
      </c>
      <c r="H458">
        <v>3</v>
      </c>
      <c r="I45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58" s="8">
        <f>Churn_part[[#This Row],[Facture_Mensuelle]]*Churn_part[[#This Row],[Remise Client]]</f>
        <v>32.035499999999999</v>
      </c>
    </row>
    <row r="459" spans="1:10" x14ac:dyDescent="0.3">
      <c r="A459" t="s">
        <v>495</v>
      </c>
      <c r="B459" t="s">
        <v>59</v>
      </c>
      <c r="C459">
        <v>39</v>
      </c>
      <c r="D459" t="s">
        <v>13</v>
      </c>
      <c r="E459" t="str">
        <f>IF(Churn_part[[#This Row],[Type_Forfait]]="Pro Monde", "B2B", "B2C")</f>
        <v>B2B</v>
      </c>
      <c r="F459">
        <v>54</v>
      </c>
      <c r="G459" s="8">
        <v>88.84</v>
      </c>
      <c r="H459">
        <v>0</v>
      </c>
      <c r="I45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59" s="8">
        <f>Churn_part[[#This Row],[Facture_Mensuelle]]*Churn_part[[#This Row],[Remise Client]]</f>
        <v>8.8840000000000003</v>
      </c>
    </row>
    <row r="460" spans="1:10" x14ac:dyDescent="0.3">
      <c r="A460" t="s">
        <v>496</v>
      </c>
      <c r="B460" t="s">
        <v>34</v>
      </c>
      <c r="C460">
        <v>80</v>
      </c>
      <c r="D460" t="s">
        <v>13</v>
      </c>
      <c r="E460" t="str">
        <f>IF(Churn_part[[#This Row],[Type_Forfait]]="Pro Monde", "B2B", "B2C")</f>
        <v>B2B</v>
      </c>
      <c r="F460">
        <v>339</v>
      </c>
      <c r="G460" s="8">
        <v>59.87</v>
      </c>
      <c r="H460">
        <v>0</v>
      </c>
      <c r="I46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60" s="8">
        <f>Churn_part[[#This Row],[Facture_Mensuelle]]*Churn_part[[#This Row],[Remise Client]]</f>
        <v>5.9870000000000001</v>
      </c>
    </row>
    <row r="461" spans="1:10" x14ac:dyDescent="0.3">
      <c r="A461" t="s">
        <v>497</v>
      </c>
      <c r="B461" t="s">
        <v>50</v>
      </c>
      <c r="C461">
        <v>105</v>
      </c>
      <c r="D461" t="s">
        <v>13</v>
      </c>
      <c r="E461" t="str">
        <f>IF(Churn_part[[#This Row],[Type_Forfait]]="Pro Monde", "B2B", "B2C")</f>
        <v>B2B</v>
      </c>
      <c r="F461">
        <v>297</v>
      </c>
      <c r="G461" s="8">
        <v>84.66</v>
      </c>
      <c r="H461">
        <v>2</v>
      </c>
      <c r="I46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61" s="8">
        <f>Churn_part[[#This Row],[Facture_Mensuelle]]*Churn_part[[#This Row],[Remise Client]]</f>
        <v>8.4659999999999993</v>
      </c>
    </row>
    <row r="462" spans="1:10" x14ac:dyDescent="0.3">
      <c r="A462" t="s">
        <v>498</v>
      </c>
      <c r="B462" t="s">
        <v>72</v>
      </c>
      <c r="C462">
        <v>37</v>
      </c>
      <c r="D462" t="s">
        <v>13</v>
      </c>
      <c r="E462" t="str">
        <f>IF(Churn_part[[#This Row],[Type_Forfait]]="Pro Monde", "B2B", "B2C")</f>
        <v>B2B</v>
      </c>
      <c r="F462">
        <v>37</v>
      </c>
      <c r="G462" s="8">
        <v>92.72</v>
      </c>
      <c r="H462">
        <v>0</v>
      </c>
      <c r="I46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62" s="8">
        <f>Churn_part[[#This Row],[Facture_Mensuelle]]*Churn_part[[#This Row],[Remise Client]]</f>
        <v>9.2720000000000002</v>
      </c>
    </row>
    <row r="463" spans="1:10" x14ac:dyDescent="0.3">
      <c r="A463" t="s">
        <v>499</v>
      </c>
      <c r="B463" t="s">
        <v>9</v>
      </c>
      <c r="C463">
        <v>45</v>
      </c>
      <c r="D463" t="s">
        <v>10</v>
      </c>
      <c r="E463" t="str">
        <f>IF(Churn_part[[#This Row],[Type_Forfait]]="Pro Monde", "B2B", "B2C")</f>
        <v>B2C</v>
      </c>
      <c r="F463">
        <v>244</v>
      </c>
      <c r="G463" s="8">
        <v>55.17</v>
      </c>
      <c r="H463">
        <v>2</v>
      </c>
      <c r="I46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63" s="8">
        <f>Churn_part[[#This Row],[Facture_Mensuelle]]*Churn_part[[#This Row],[Remise Client]]</f>
        <v>24.826500000000003</v>
      </c>
    </row>
    <row r="464" spans="1:10" x14ac:dyDescent="0.3">
      <c r="A464" t="s">
        <v>500</v>
      </c>
      <c r="B464" t="s">
        <v>43</v>
      </c>
      <c r="C464">
        <v>113</v>
      </c>
      <c r="D464" t="s">
        <v>21</v>
      </c>
      <c r="E464" t="str">
        <f>IF(Churn_part[[#This Row],[Type_Forfait]]="Pro Monde", "B2B", "B2C")</f>
        <v>B2C</v>
      </c>
      <c r="F464">
        <v>428</v>
      </c>
      <c r="G464" s="8">
        <v>73.84</v>
      </c>
      <c r="H464">
        <v>0</v>
      </c>
      <c r="I46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64" s="8">
        <f>Churn_part[[#This Row],[Facture_Mensuelle]]*Churn_part[[#This Row],[Remise Client]]</f>
        <v>33.228000000000002</v>
      </c>
    </row>
    <row r="465" spans="1:10" x14ac:dyDescent="0.3">
      <c r="A465" t="s">
        <v>501</v>
      </c>
      <c r="B465" t="s">
        <v>63</v>
      </c>
      <c r="C465">
        <v>14</v>
      </c>
      <c r="D465" t="s">
        <v>21</v>
      </c>
      <c r="E465" t="str">
        <f>IF(Churn_part[[#This Row],[Type_Forfait]]="Pro Monde", "B2B", "B2C")</f>
        <v>B2C</v>
      </c>
      <c r="F465">
        <v>304</v>
      </c>
      <c r="G465" s="8">
        <v>48.13</v>
      </c>
      <c r="H465">
        <v>2</v>
      </c>
      <c r="I46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65" s="8">
        <f>Churn_part[[#This Row],[Facture_Mensuelle]]*Churn_part[[#This Row],[Remise Client]]</f>
        <v>21.6585</v>
      </c>
    </row>
    <row r="466" spans="1:10" x14ac:dyDescent="0.3">
      <c r="A466" t="s">
        <v>502</v>
      </c>
      <c r="B466" t="s">
        <v>56</v>
      </c>
      <c r="C466">
        <v>35</v>
      </c>
      <c r="D466" t="s">
        <v>13</v>
      </c>
      <c r="E466" t="str">
        <f>IF(Churn_part[[#This Row],[Type_Forfait]]="Pro Monde", "B2B", "B2C")</f>
        <v>B2B</v>
      </c>
      <c r="F466">
        <v>445</v>
      </c>
      <c r="G466" s="8">
        <v>24.11</v>
      </c>
      <c r="H466">
        <v>2</v>
      </c>
      <c r="I46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66" s="8">
        <f>Churn_part[[#This Row],[Facture_Mensuelle]]*Churn_part[[#This Row],[Remise Client]]</f>
        <v>2.411</v>
      </c>
    </row>
    <row r="467" spans="1:10" x14ac:dyDescent="0.3">
      <c r="A467" t="s">
        <v>503</v>
      </c>
      <c r="B467" t="s">
        <v>63</v>
      </c>
      <c r="C467">
        <v>118</v>
      </c>
      <c r="D467" t="s">
        <v>13</v>
      </c>
      <c r="E467" t="str">
        <f>IF(Churn_part[[#This Row],[Type_Forfait]]="Pro Monde", "B2B", "B2C")</f>
        <v>B2B</v>
      </c>
      <c r="F467">
        <v>80</v>
      </c>
      <c r="G467" s="8">
        <v>97.58</v>
      </c>
      <c r="H467">
        <v>3</v>
      </c>
      <c r="I46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67" s="8">
        <f>Churn_part[[#This Row],[Facture_Mensuelle]]*Churn_part[[#This Row],[Remise Client]]</f>
        <v>9.7580000000000009</v>
      </c>
    </row>
    <row r="468" spans="1:10" x14ac:dyDescent="0.3">
      <c r="A468" t="s">
        <v>504</v>
      </c>
      <c r="B468" t="s">
        <v>56</v>
      </c>
      <c r="C468">
        <v>64</v>
      </c>
      <c r="D468" t="s">
        <v>13</v>
      </c>
      <c r="E468" t="str">
        <f>IF(Churn_part[[#This Row],[Type_Forfait]]="Pro Monde", "B2B", "B2C")</f>
        <v>B2B</v>
      </c>
      <c r="F468">
        <v>15</v>
      </c>
      <c r="G468" s="8">
        <v>56.94</v>
      </c>
      <c r="H468">
        <v>4</v>
      </c>
      <c r="I46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68" s="8">
        <f>Churn_part[[#This Row],[Facture_Mensuelle]]*Churn_part[[#This Row],[Remise Client]]</f>
        <v>5.694</v>
      </c>
    </row>
    <row r="469" spans="1:10" x14ac:dyDescent="0.3">
      <c r="A469" t="s">
        <v>505</v>
      </c>
      <c r="B469" t="s">
        <v>9</v>
      </c>
      <c r="C469">
        <v>85</v>
      </c>
      <c r="D469" t="s">
        <v>13</v>
      </c>
      <c r="E469" t="str">
        <f>IF(Churn_part[[#This Row],[Type_Forfait]]="Pro Monde", "B2B", "B2C")</f>
        <v>B2B</v>
      </c>
      <c r="F469">
        <v>75</v>
      </c>
      <c r="G469" s="8">
        <v>98.01</v>
      </c>
      <c r="H469">
        <v>1</v>
      </c>
      <c r="I46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69" s="8">
        <f>Churn_part[[#This Row],[Facture_Mensuelle]]*Churn_part[[#This Row],[Remise Client]]</f>
        <v>9.8010000000000019</v>
      </c>
    </row>
    <row r="470" spans="1:10" x14ac:dyDescent="0.3">
      <c r="A470" t="s">
        <v>506</v>
      </c>
      <c r="B470" t="s">
        <v>129</v>
      </c>
      <c r="C470">
        <v>48</v>
      </c>
      <c r="D470" t="s">
        <v>21</v>
      </c>
      <c r="E470" t="str">
        <f>IF(Churn_part[[#This Row],[Type_Forfait]]="Pro Monde", "B2B", "B2C")</f>
        <v>B2C</v>
      </c>
      <c r="F470">
        <v>187</v>
      </c>
      <c r="G470" s="8">
        <v>21.26</v>
      </c>
      <c r="H470">
        <v>2</v>
      </c>
      <c r="I47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70" s="8">
        <f>Churn_part[[#This Row],[Facture_Mensuelle]]*Churn_part[[#This Row],[Remise Client]]</f>
        <v>0</v>
      </c>
    </row>
    <row r="471" spans="1:10" x14ac:dyDescent="0.3">
      <c r="A471" t="s">
        <v>507</v>
      </c>
      <c r="B471" t="s">
        <v>43</v>
      </c>
      <c r="C471">
        <v>120</v>
      </c>
      <c r="D471" t="s">
        <v>13</v>
      </c>
      <c r="E471" t="str">
        <f>IF(Churn_part[[#This Row],[Type_Forfait]]="Pro Monde", "B2B", "B2C")</f>
        <v>B2B</v>
      </c>
      <c r="F471">
        <v>72</v>
      </c>
      <c r="G471" s="8">
        <v>29.07</v>
      </c>
      <c r="H471">
        <v>3</v>
      </c>
      <c r="I47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71" s="8">
        <f>Churn_part[[#This Row],[Facture_Mensuelle]]*Churn_part[[#This Row],[Remise Client]]</f>
        <v>2.907</v>
      </c>
    </row>
    <row r="472" spans="1:10" x14ac:dyDescent="0.3">
      <c r="A472" t="s">
        <v>508</v>
      </c>
      <c r="B472" t="s">
        <v>20</v>
      </c>
      <c r="C472">
        <v>34</v>
      </c>
      <c r="D472" t="s">
        <v>18</v>
      </c>
      <c r="E472" t="str">
        <f>IF(Churn_part[[#This Row],[Type_Forfait]]="Pro Monde", "B2B", "B2C")</f>
        <v>B2C</v>
      </c>
      <c r="F472">
        <v>40</v>
      </c>
      <c r="G472" s="8">
        <v>65.709999999999994</v>
      </c>
      <c r="H472">
        <v>5</v>
      </c>
      <c r="I47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72" s="8">
        <f>Churn_part[[#This Row],[Facture_Mensuelle]]*Churn_part[[#This Row],[Remise Client]]</f>
        <v>0</v>
      </c>
    </row>
    <row r="473" spans="1:10" x14ac:dyDescent="0.3">
      <c r="A473" t="s">
        <v>509</v>
      </c>
      <c r="B473" t="s">
        <v>15</v>
      </c>
      <c r="C473">
        <v>104</v>
      </c>
      <c r="D473" t="s">
        <v>13</v>
      </c>
      <c r="E473" t="str">
        <f>IF(Churn_part[[#This Row],[Type_Forfait]]="Pro Monde", "B2B", "B2C")</f>
        <v>B2B</v>
      </c>
      <c r="F473">
        <v>125</v>
      </c>
      <c r="G473" s="8">
        <v>29.7</v>
      </c>
      <c r="H473">
        <v>2</v>
      </c>
      <c r="I47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73" s="8">
        <f>Churn_part[[#This Row],[Facture_Mensuelle]]*Churn_part[[#This Row],[Remise Client]]</f>
        <v>2.97</v>
      </c>
    </row>
    <row r="474" spans="1:10" x14ac:dyDescent="0.3">
      <c r="A474" t="s">
        <v>510</v>
      </c>
      <c r="B474" t="s">
        <v>34</v>
      </c>
      <c r="C474">
        <v>117</v>
      </c>
      <c r="D474" t="s">
        <v>21</v>
      </c>
      <c r="E474" t="str">
        <f>IF(Churn_part[[#This Row],[Type_Forfait]]="Pro Monde", "B2B", "B2C")</f>
        <v>B2C</v>
      </c>
      <c r="F474">
        <v>39</v>
      </c>
      <c r="G474" s="8">
        <v>26.53</v>
      </c>
      <c r="H474">
        <v>1</v>
      </c>
      <c r="I47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74" s="8">
        <f>Churn_part[[#This Row],[Facture_Mensuelle]]*Churn_part[[#This Row],[Remise Client]]</f>
        <v>0</v>
      </c>
    </row>
    <row r="475" spans="1:10" x14ac:dyDescent="0.3">
      <c r="A475" t="s">
        <v>511</v>
      </c>
      <c r="B475" t="s">
        <v>56</v>
      </c>
      <c r="C475">
        <v>92</v>
      </c>
      <c r="D475" t="s">
        <v>18</v>
      </c>
      <c r="E475" t="str">
        <f>IF(Churn_part[[#This Row],[Type_Forfait]]="Pro Monde", "B2B", "B2C")</f>
        <v>B2C</v>
      </c>
      <c r="F475">
        <v>6</v>
      </c>
      <c r="G475" s="8">
        <v>77.14</v>
      </c>
      <c r="H475">
        <v>5</v>
      </c>
      <c r="I47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75" s="8">
        <f>Churn_part[[#This Row],[Facture_Mensuelle]]*Churn_part[[#This Row],[Remise Client]]</f>
        <v>0</v>
      </c>
    </row>
    <row r="476" spans="1:10" x14ac:dyDescent="0.3">
      <c r="A476" t="s">
        <v>512</v>
      </c>
      <c r="B476" t="s">
        <v>12</v>
      </c>
      <c r="C476">
        <v>103</v>
      </c>
      <c r="D476" t="s">
        <v>21</v>
      </c>
      <c r="E476" t="str">
        <f>IF(Churn_part[[#This Row],[Type_Forfait]]="Pro Monde", "B2B", "B2C")</f>
        <v>B2C</v>
      </c>
      <c r="F476">
        <v>291</v>
      </c>
      <c r="G476" s="8">
        <v>60.34</v>
      </c>
      <c r="H476">
        <v>5</v>
      </c>
      <c r="I47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76" s="8">
        <f>Churn_part[[#This Row],[Facture_Mensuelle]]*Churn_part[[#This Row],[Remise Client]]</f>
        <v>27.153000000000002</v>
      </c>
    </row>
    <row r="477" spans="1:10" x14ac:dyDescent="0.3">
      <c r="A477" t="s">
        <v>513</v>
      </c>
      <c r="B477" t="s">
        <v>129</v>
      </c>
      <c r="C477">
        <v>10</v>
      </c>
      <c r="D477" t="s">
        <v>10</v>
      </c>
      <c r="E477" t="str">
        <f>IF(Churn_part[[#This Row],[Type_Forfait]]="Pro Monde", "B2B", "B2C")</f>
        <v>B2C</v>
      </c>
      <c r="F477">
        <v>425</v>
      </c>
      <c r="G477" s="8">
        <v>85.75</v>
      </c>
      <c r="H477">
        <v>0</v>
      </c>
      <c r="I47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77" s="8">
        <f>Churn_part[[#This Row],[Facture_Mensuelle]]*Churn_part[[#This Row],[Remise Client]]</f>
        <v>38.587499999999999</v>
      </c>
    </row>
    <row r="478" spans="1:10" x14ac:dyDescent="0.3">
      <c r="A478" t="s">
        <v>514</v>
      </c>
      <c r="B478" t="s">
        <v>12</v>
      </c>
      <c r="C478">
        <v>101</v>
      </c>
      <c r="D478" t="s">
        <v>18</v>
      </c>
      <c r="E478" t="str">
        <f>IF(Churn_part[[#This Row],[Type_Forfait]]="Pro Monde", "B2B", "B2C")</f>
        <v>B2C</v>
      </c>
      <c r="F478">
        <v>416</v>
      </c>
      <c r="G478" s="8">
        <v>83.49</v>
      </c>
      <c r="H478">
        <v>2</v>
      </c>
      <c r="I47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78" s="8">
        <f>Churn_part[[#This Row],[Facture_Mensuelle]]*Churn_part[[#This Row],[Remise Client]]</f>
        <v>37.570499999999996</v>
      </c>
    </row>
    <row r="479" spans="1:10" x14ac:dyDescent="0.3">
      <c r="A479" t="s">
        <v>515</v>
      </c>
      <c r="B479" t="s">
        <v>36</v>
      </c>
      <c r="C479">
        <v>1</v>
      </c>
      <c r="D479" t="s">
        <v>21</v>
      </c>
      <c r="E479" t="str">
        <f>IF(Churn_part[[#This Row],[Type_Forfait]]="Pro Monde", "B2B", "B2C")</f>
        <v>B2C</v>
      </c>
      <c r="F479">
        <v>213</v>
      </c>
      <c r="G479" s="8">
        <v>52.16</v>
      </c>
      <c r="H479">
        <v>3</v>
      </c>
      <c r="I47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79" s="8">
        <f>Churn_part[[#This Row],[Facture_Mensuelle]]*Churn_part[[#This Row],[Remise Client]]</f>
        <v>0</v>
      </c>
    </row>
    <row r="480" spans="1:10" x14ac:dyDescent="0.3">
      <c r="A480" t="s">
        <v>516</v>
      </c>
      <c r="B480" t="s">
        <v>50</v>
      </c>
      <c r="C480">
        <v>111</v>
      </c>
      <c r="D480" t="s">
        <v>18</v>
      </c>
      <c r="E480" t="str">
        <f>IF(Churn_part[[#This Row],[Type_Forfait]]="Pro Monde", "B2B", "B2C")</f>
        <v>B2C</v>
      </c>
      <c r="F480">
        <v>76</v>
      </c>
      <c r="G480" s="8">
        <v>38.19</v>
      </c>
      <c r="H480">
        <v>5</v>
      </c>
      <c r="I48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80" s="8">
        <f>Churn_part[[#This Row],[Facture_Mensuelle]]*Churn_part[[#This Row],[Remise Client]]</f>
        <v>0</v>
      </c>
    </row>
    <row r="481" spans="1:10" x14ac:dyDescent="0.3">
      <c r="A481" t="s">
        <v>517</v>
      </c>
      <c r="B481" t="s">
        <v>25</v>
      </c>
      <c r="C481">
        <v>120</v>
      </c>
      <c r="D481" t="s">
        <v>10</v>
      </c>
      <c r="E481" t="str">
        <f>IF(Churn_part[[#This Row],[Type_Forfait]]="Pro Monde", "B2B", "B2C")</f>
        <v>B2C</v>
      </c>
      <c r="F481">
        <v>391</v>
      </c>
      <c r="G481" s="8">
        <v>67.77</v>
      </c>
      <c r="H481">
        <v>4</v>
      </c>
      <c r="I48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81" s="8">
        <f>Churn_part[[#This Row],[Facture_Mensuelle]]*Churn_part[[#This Row],[Remise Client]]</f>
        <v>30.496499999999997</v>
      </c>
    </row>
    <row r="482" spans="1:10" x14ac:dyDescent="0.3">
      <c r="A482" t="s">
        <v>518</v>
      </c>
      <c r="B482" t="s">
        <v>28</v>
      </c>
      <c r="C482">
        <v>20</v>
      </c>
      <c r="D482" t="s">
        <v>13</v>
      </c>
      <c r="E482" t="str">
        <f>IF(Churn_part[[#This Row],[Type_Forfait]]="Pro Monde", "B2B", "B2C")</f>
        <v>B2B</v>
      </c>
      <c r="F482">
        <v>93</v>
      </c>
      <c r="G482" s="8">
        <v>84.45</v>
      </c>
      <c r="H482">
        <v>0</v>
      </c>
      <c r="I48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82" s="8">
        <f>Churn_part[[#This Row],[Facture_Mensuelle]]*Churn_part[[#This Row],[Remise Client]]</f>
        <v>8.4450000000000003</v>
      </c>
    </row>
    <row r="483" spans="1:10" x14ac:dyDescent="0.3">
      <c r="A483" t="s">
        <v>519</v>
      </c>
      <c r="B483" t="s">
        <v>50</v>
      </c>
      <c r="C483">
        <v>100</v>
      </c>
      <c r="D483" t="s">
        <v>21</v>
      </c>
      <c r="E483" t="str">
        <f>IF(Churn_part[[#This Row],[Type_Forfait]]="Pro Monde", "B2B", "B2C")</f>
        <v>B2C</v>
      </c>
      <c r="F483">
        <v>240</v>
      </c>
      <c r="G483" s="8">
        <v>24.83</v>
      </c>
      <c r="H483">
        <v>4</v>
      </c>
      <c r="I48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83" s="8">
        <f>Churn_part[[#This Row],[Facture_Mensuelle]]*Churn_part[[#This Row],[Remise Client]]</f>
        <v>11.173499999999999</v>
      </c>
    </row>
    <row r="484" spans="1:10" x14ac:dyDescent="0.3">
      <c r="A484" t="s">
        <v>520</v>
      </c>
      <c r="B484" t="s">
        <v>56</v>
      </c>
      <c r="C484">
        <v>84</v>
      </c>
      <c r="D484" t="s">
        <v>18</v>
      </c>
      <c r="E484" t="str">
        <f>IF(Churn_part[[#This Row],[Type_Forfait]]="Pro Monde", "B2B", "B2C")</f>
        <v>B2C</v>
      </c>
      <c r="F484">
        <v>380</v>
      </c>
      <c r="G484" s="8">
        <v>82.3</v>
      </c>
      <c r="H484">
        <v>1</v>
      </c>
      <c r="I48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84" s="8">
        <f>Churn_part[[#This Row],[Facture_Mensuelle]]*Churn_part[[#This Row],[Remise Client]]</f>
        <v>37.034999999999997</v>
      </c>
    </row>
    <row r="485" spans="1:10" x14ac:dyDescent="0.3">
      <c r="A485" t="s">
        <v>521</v>
      </c>
      <c r="B485" t="s">
        <v>50</v>
      </c>
      <c r="C485">
        <v>19</v>
      </c>
      <c r="D485" t="s">
        <v>18</v>
      </c>
      <c r="E485" t="str">
        <f>IF(Churn_part[[#This Row],[Type_Forfait]]="Pro Monde", "B2B", "B2C")</f>
        <v>B2C</v>
      </c>
      <c r="F485">
        <v>71</v>
      </c>
      <c r="G485" s="8">
        <v>68.2</v>
      </c>
      <c r="H485">
        <v>0</v>
      </c>
      <c r="I48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85" s="8">
        <f>Churn_part[[#This Row],[Facture_Mensuelle]]*Churn_part[[#This Row],[Remise Client]]</f>
        <v>0</v>
      </c>
    </row>
    <row r="486" spans="1:10" x14ac:dyDescent="0.3">
      <c r="A486" t="s">
        <v>522</v>
      </c>
      <c r="B486" t="s">
        <v>34</v>
      </c>
      <c r="C486">
        <v>41</v>
      </c>
      <c r="D486" t="s">
        <v>10</v>
      </c>
      <c r="E486" t="str">
        <f>IF(Churn_part[[#This Row],[Type_Forfait]]="Pro Monde", "B2B", "B2C")</f>
        <v>B2C</v>
      </c>
      <c r="F486">
        <v>383</v>
      </c>
      <c r="G486" s="8">
        <v>27.53</v>
      </c>
      <c r="H486">
        <v>4</v>
      </c>
      <c r="I48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86" s="8">
        <f>Churn_part[[#This Row],[Facture_Mensuelle]]*Churn_part[[#This Row],[Remise Client]]</f>
        <v>12.388500000000001</v>
      </c>
    </row>
    <row r="487" spans="1:10" x14ac:dyDescent="0.3">
      <c r="A487" t="s">
        <v>523</v>
      </c>
      <c r="B487" t="s">
        <v>20</v>
      </c>
      <c r="C487">
        <v>19</v>
      </c>
      <c r="D487" t="s">
        <v>10</v>
      </c>
      <c r="E487" t="str">
        <f>IF(Churn_part[[#This Row],[Type_Forfait]]="Pro Monde", "B2B", "B2C")</f>
        <v>B2C</v>
      </c>
      <c r="F487">
        <v>270</v>
      </c>
      <c r="G487" s="8">
        <v>19.760000000000002</v>
      </c>
      <c r="H487">
        <v>3</v>
      </c>
      <c r="I48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87" s="8">
        <f>Churn_part[[#This Row],[Facture_Mensuelle]]*Churn_part[[#This Row],[Remise Client]]</f>
        <v>8.8920000000000012</v>
      </c>
    </row>
    <row r="488" spans="1:10" x14ac:dyDescent="0.3">
      <c r="A488" t="s">
        <v>524</v>
      </c>
      <c r="B488" t="s">
        <v>39</v>
      </c>
      <c r="C488">
        <v>50</v>
      </c>
      <c r="D488" t="s">
        <v>21</v>
      </c>
      <c r="E488" t="str">
        <f>IF(Churn_part[[#This Row],[Type_Forfait]]="Pro Monde", "B2B", "B2C")</f>
        <v>B2C</v>
      </c>
      <c r="F488">
        <v>357</v>
      </c>
      <c r="G488" s="8">
        <v>17</v>
      </c>
      <c r="H488">
        <v>3</v>
      </c>
      <c r="I48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88" s="8">
        <f>Churn_part[[#This Row],[Facture_Mensuelle]]*Churn_part[[#This Row],[Remise Client]]</f>
        <v>7.65</v>
      </c>
    </row>
    <row r="489" spans="1:10" x14ac:dyDescent="0.3">
      <c r="A489" t="s">
        <v>525</v>
      </c>
      <c r="B489" t="s">
        <v>30</v>
      </c>
      <c r="C489">
        <v>58</v>
      </c>
      <c r="D489" t="s">
        <v>10</v>
      </c>
      <c r="E489" t="str">
        <f>IF(Churn_part[[#This Row],[Type_Forfait]]="Pro Monde", "B2B", "B2C")</f>
        <v>B2C</v>
      </c>
      <c r="F489">
        <v>485</v>
      </c>
      <c r="G489" s="8">
        <v>64.290000000000006</v>
      </c>
      <c r="H489">
        <v>4</v>
      </c>
      <c r="I48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89" s="8">
        <f>Churn_part[[#This Row],[Facture_Mensuelle]]*Churn_part[[#This Row],[Remise Client]]</f>
        <v>28.930500000000002</v>
      </c>
    </row>
    <row r="490" spans="1:10" x14ac:dyDescent="0.3">
      <c r="A490" t="s">
        <v>526</v>
      </c>
      <c r="B490" t="s">
        <v>77</v>
      </c>
      <c r="C490">
        <v>93</v>
      </c>
      <c r="D490" t="s">
        <v>13</v>
      </c>
      <c r="E490" t="str">
        <f>IF(Churn_part[[#This Row],[Type_Forfait]]="Pro Monde", "B2B", "B2C")</f>
        <v>B2B</v>
      </c>
      <c r="F490">
        <v>153</v>
      </c>
      <c r="G490" s="8">
        <v>86.19</v>
      </c>
      <c r="H490">
        <v>0</v>
      </c>
      <c r="I49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90" s="8">
        <f>Churn_part[[#This Row],[Facture_Mensuelle]]*Churn_part[[#This Row],[Remise Client]]</f>
        <v>8.6189999999999998</v>
      </c>
    </row>
    <row r="491" spans="1:10" x14ac:dyDescent="0.3">
      <c r="A491" t="s">
        <v>527</v>
      </c>
      <c r="B491" t="s">
        <v>50</v>
      </c>
      <c r="C491">
        <v>102</v>
      </c>
      <c r="D491" t="s">
        <v>21</v>
      </c>
      <c r="E491" t="str">
        <f>IF(Churn_part[[#This Row],[Type_Forfait]]="Pro Monde", "B2B", "B2C")</f>
        <v>B2C</v>
      </c>
      <c r="F491">
        <v>240</v>
      </c>
      <c r="G491" s="8">
        <v>12.52</v>
      </c>
      <c r="H491">
        <v>2</v>
      </c>
      <c r="I49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91" s="8">
        <f>Churn_part[[#This Row],[Facture_Mensuelle]]*Churn_part[[#This Row],[Remise Client]]</f>
        <v>5.6340000000000003</v>
      </c>
    </row>
    <row r="492" spans="1:10" x14ac:dyDescent="0.3">
      <c r="A492" t="s">
        <v>528</v>
      </c>
      <c r="B492" t="s">
        <v>20</v>
      </c>
      <c r="C492">
        <v>101</v>
      </c>
      <c r="D492" t="s">
        <v>13</v>
      </c>
      <c r="E492" t="str">
        <f>IF(Churn_part[[#This Row],[Type_Forfait]]="Pro Monde", "B2B", "B2C")</f>
        <v>B2B</v>
      </c>
      <c r="F492">
        <v>210</v>
      </c>
      <c r="G492" s="8">
        <v>35.4</v>
      </c>
      <c r="H492">
        <v>1</v>
      </c>
      <c r="I49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492" s="8">
        <f>Churn_part[[#This Row],[Facture_Mensuelle]]*Churn_part[[#This Row],[Remise Client]]</f>
        <v>3.54</v>
      </c>
    </row>
    <row r="493" spans="1:10" x14ac:dyDescent="0.3">
      <c r="A493" t="s">
        <v>529</v>
      </c>
      <c r="B493" t="s">
        <v>39</v>
      </c>
      <c r="C493">
        <v>62</v>
      </c>
      <c r="D493" t="s">
        <v>21</v>
      </c>
      <c r="E493" t="str">
        <f>IF(Churn_part[[#This Row],[Type_Forfait]]="Pro Monde", "B2B", "B2C")</f>
        <v>B2C</v>
      </c>
      <c r="F493">
        <v>369</v>
      </c>
      <c r="G493" s="8">
        <v>58.74</v>
      </c>
      <c r="H493">
        <v>1</v>
      </c>
      <c r="I49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93" s="8">
        <f>Churn_part[[#This Row],[Facture_Mensuelle]]*Churn_part[[#This Row],[Remise Client]]</f>
        <v>26.433</v>
      </c>
    </row>
    <row r="494" spans="1:10" x14ac:dyDescent="0.3">
      <c r="A494" t="s">
        <v>530</v>
      </c>
      <c r="B494" t="s">
        <v>61</v>
      </c>
      <c r="C494">
        <v>105</v>
      </c>
      <c r="D494" t="s">
        <v>21</v>
      </c>
      <c r="E494" t="str">
        <f>IF(Churn_part[[#This Row],[Type_Forfait]]="Pro Monde", "B2B", "B2C")</f>
        <v>B2C</v>
      </c>
      <c r="F494">
        <v>172</v>
      </c>
      <c r="G494" s="8">
        <v>15.88</v>
      </c>
      <c r="H494">
        <v>5</v>
      </c>
      <c r="I49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94" s="8">
        <f>Churn_part[[#This Row],[Facture_Mensuelle]]*Churn_part[[#This Row],[Remise Client]]</f>
        <v>0</v>
      </c>
    </row>
    <row r="495" spans="1:10" x14ac:dyDescent="0.3">
      <c r="A495" t="s">
        <v>531</v>
      </c>
      <c r="B495" t="s">
        <v>30</v>
      </c>
      <c r="C495">
        <v>9</v>
      </c>
      <c r="D495" t="s">
        <v>21</v>
      </c>
      <c r="E495" t="str">
        <f>IF(Churn_part[[#This Row],[Type_Forfait]]="Pro Monde", "B2B", "B2C")</f>
        <v>B2C</v>
      </c>
      <c r="F495">
        <v>227</v>
      </c>
      <c r="G495" s="8">
        <v>63.74</v>
      </c>
      <c r="H495">
        <v>3</v>
      </c>
      <c r="I49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95" s="8">
        <f>Churn_part[[#This Row],[Facture_Mensuelle]]*Churn_part[[#This Row],[Remise Client]]</f>
        <v>0</v>
      </c>
    </row>
    <row r="496" spans="1:10" x14ac:dyDescent="0.3">
      <c r="A496" t="s">
        <v>532</v>
      </c>
      <c r="B496" t="s">
        <v>43</v>
      </c>
      <c r="C496">
        <v>15</v>
      </c>
      <c r="D496" t="s">
        <v>18</v>
      </c>
      <c r="E496" t="str">
        <f>IF(Churn_part[[#This Row],[Type_Forfait]]="Pro Monde", "B2B", "B2C")</f>
        <v>B2C</v>
      </c>
      <c r="F496">
        <v>400</v>
      </c>
      <c r="G496" s="8">
        <v>78.09</v>
      </c>
      <c r="H496">
        <v>0</v>
      </c>
      <c r="I49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96" s="8">
        <f>Churn_part[[#This Row],[Facture_Mensuelle]]*Churn_part[[#This Row],[Remise Client]]</f>
        <v>35.140500000000003</v>
      </c>
    </row>
    <row r="497" spans="1:10" x14ac:dyDescent="0.3">
      <c r="A497" t="s">
        <v>533</v>
      </c>
      <c r="B497" t="s">
        <v>28</v>
      </c>
      <c r="C497">
        <v>74</v>
      </c>
      <c r="D497" t="s">
        <v>21</v>
      </c>
      <c r="E497" t="str">
        <f>IF(Churn_part[[#This Row],[Type_Forfait]]="Pro Monde", "B2B", "B2C")</f>
        <v>B2C</v>
      </c>
      <c r="F497">
        <v>330</v>
      </c>
      <c r="G497" s="8">
        <v>37.82</v>
      </c>
      <c r="H497">
        <v>5</v>
      </c>
      <c r="I49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97" s="8">
        <f>Churn_part[[#This Row],[Facture_Mensuelle]]*Churn_part[[#This Row],[Remise Client]]</f>
        <v>17.019000000000002</v>
      </c>
    </row>
    <row r="498" spans="1:10" x14ac:dyDescent="0.3">
      <c r="A498" t="s">
        <v>534</v>
      </c>
      <c r="B498" t="s">
        <v>9</v>
      </c>
      <c r="C498">
        <v>55</v>
      </c>
      <c r="D498" t="s">
        <v>18</v>
      </c>
      <c r="E498" t="str">
        <f>IF(Churn_part[[#This Row],[Type_Forfait]]="Pro Monde", "B2B", "B2C")</f>
        <v>B2C</v>
      </c>
      <c r="F498">
        <v>355</v>
      </c>
      <c r="G498" s="8">
        <v>59.65</v>
      </c>
      <c r="H498">
        <v>0</v>
      </c>
      <c r="I49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498" s="8">
        <f>Churn_part[[#This Row],[Facture_Mensuelle]]*Churn_part[[#This Row],[Remise Client]]</f>
        <v>26.842500000000001</v>
      </c>
    </row>
    <row r="499" spans="1:10" x14ac:dyDescent="0.3">
      <c r="A499" t="s">
        <v>535</v>
      </c>
      <c r="B499" t="s">
        <v>72</v>
      </c>
      <c r="C499">
        <v>94</v>
      </c>
      <c r="D499" t="s">
        <v>21</v>
      </c>
      <c r="E499" t="str">
        <f>IF(Churn_part[[#This Row],[Type_Forfait]]="Pro Monde", "B2B", "B2C")</f>
        <v>B2C</v>
      </c>
      <c r="F499">
        <v>6</v>
      </c>
      <c r="G499" s="8">
        <v>67.459999999999994</v>
      </c>
      <c r="H499">
        <v>5</v>
      </c>
      <c r="I49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499" s="8">
        <f>Churn_part[[#This Row],[Facture_Mensuelle]]*Churn_part[[#This Row],[Remise Client]]</f>
        <v>0</v>
      </c>
    </row>
    <row r="500" spans="1:10" x14ac:dyDescent="0.3">
      <c r="A500" t="s">
        <v>536</v>
      </c>
      <c r="B500" t="s">
        <v>15</v>
      </c>
      <c r="C500">
        <v>120</v>
      </c>
      <c r="D500" t="s">
        <v>18</v>
      </c>
      <c r="E500" t="str">
        <f>IF(Churn_part[[#This Row],[Type_Forfait]]="Pro Monde", "B2B", "B2C")</f>
        <v>B2C</v>
      </c>
      <c r="F500">
        <v>27</v>
      </c>
      <c r="G500" s="8">
        <v>24.46</v>
      </c>
      <c r="H500">
        <v>3</v>
      </c>
      <c r="I50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00" s="8">
        <f>Churn_part[[#This Row],[Facture_Mensuelle]]*Churn_part[[#This Row],[Remise Client]]</f>
        <v>0</v>
      </c>
    </row>
    <row r="501" spans="1:10" x14ac:dyDescent="0.3">
      <c r="A501" t="s">
        <v>537</v>
      </c>
      <c r="B501" t="s">
        <v>43</v>
      </c>
      <c r="C501">
        <v>38</v>
      </c>
      <c r="D501" t="s">
        <v>18</v>
      </c>
      <c r="E501" t="str">
        <f>IF(Churn_part[[#This Row],[Type_Forfait]]="Pro Monde", "B2B", "B2C")</f>
        <v>B2C</v>
      </c>
      <c r="F501">
        <v>108</v>
      </c>
      <c r="G501" s="8">
        <v>72.7</v>
      </c>
      <c r="H501">
        <v>3</v>
      </c>
      <c r="I50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01" s="8">
        <f>Churn_part[[#This Row],[Facture_Mensuelle]]*Churn_part[[#This Row],[Remise Client]]</f>
        <v>0</v>
      </c>
    </row>
    <row r="502" spans="1:10" x14ac:dyDescent="0.3">
      <c r="A502" t="s">
        <v>538</v>
      </c>
      <c r="B502" t="s">
        <v>135</v>
      </c>
      <c r="C502">
        <v>21</v>
      </c>
      <c r="D502" t="s">
        <v>21</v>
      </c>
      <c r="E502" t="str">
        <f>IF(Churn_part[[#This Row],[Type_Forfait]]="Pro Monde", "B2B", "B2C")</f>
        <v>B2C</v>
      </c>
      <c r="F502">
        <v>444</v>
      </c>
      <c r="G502" s="8">
        <v>41.92</v>
      </c>
      <c r="H502">
        <v>3</v>
      </c>
      <c r="I50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02" s="8">
        <f>Churn_part[[#This Row],[Facture_Mensuelle]]*Churn_part[[#This Row],[Remise Client]]</f>
        <v>18.864000000000001</v>
      </c>
    </row>
    <row r="503" spans="1:10" x14ac:dyDescent="0.3">
      <c r="A503" t="s">
        <v>539</v>
      </c>
      <c r="B503" t="s">
        <v>36</v>
      </c>
      <c r="C503">
        <v>9</v>
      </c>
      <c r="D503" t="s">
        <v>18</v>
      </c>
      <c r="E503" t="str">
        <f>IF(Churn_part[[#This Row],[Type_Forfait]]="Pro Monde", "B2B", "B2C")</f>
        <v>B2C</v>
      </c>
      <c r="F503">
        <v>11</v>
      </c>
      <c r="G503" s="8">
        <v>72.36</v>
      </c>
      <c r="H503">
        <v>2</v>
      </c>
      <c r="I50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03" s="8">
        <f>Churn_part[[#This Row],[Facture_Mensuelle]]*Churn_part[[#This Row],[Remise Client]]</f>
        <v>0</v>
      </c>
    </row>
    <row r="504" spans="1:10" x14ac:dyDescent="0.3">
      <c r="A504" t="s">
        <v>540</v>
      </c>
      <c r="B504" t="s">
        <v>28</v>
      </c>
      <c r="C504">
        <v>36</v>
      </c>
      <c r="D504" t="s">
        <v>21</v>
      </c>
      <c r="E504" t="str">
        <f>IF(Churn_part[[#This Row],[Type_Forfait]]="Pro Monde", "B2B", "B2C")</f>
        <v>B2C</v>
      </c>
      <c r="F504">
        <v>487</v>
      </c>
      <c r="G504" s="8">
        <v>45.02</v>
      </c>
      <c r="H504">
        <v>2</v>
      </c>
      <c r="I50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04" s="8">
        <f>Churn_part[[#This Row],[Facture_Mensuelle]]*Churn_part[[#This Row],[Remise Client]]</f>
        <v>20.259</v>
      </c>
    </row>
    <row r="505" spans="1:10" x14ac:dyDescent="0.3">
      <c r="A505" t="s">
        <v>541</v>
      </c>
      <c r="B505" t="s">
        <v>72</v>
      </c>
      <c r="C505">
        <v>74</v>
      </c>
      <c r="D505" t="s">
        <v>18</v>
      </c>
      <c r="E505" t="str">
        <f>IF(Churn_part[[#This Row],[Type_Forfait]]="Pro Monde", "B2B", "B2C")</f>
        <v>B2C</v>
      </c>
      <c r="F505">
        <v>388</v>
      </c>
      <c r="G505" s="8">
        <v>10.89</v>
      </c>
      <c r="H505">
        <v>4</v>
      </c>
      <c r="I50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05" s="8">
        <f>Churn_part[[#This Row],[Facture_Mensuelle]]*Churn_part[[#This Row],[Remise Client]]</f>
        <v>4.9005000000000001</v>
      </c>
    </row>
    <row r="506" spans="1:10" x14ac:dyDescent="0.3">
      <c r="A506" t="s">
        <v>542</v>
      </c>
      <c r="B506" t="s">
        <v>72</v>
      </c>
      <c r="C506">
        <v>47</v>
      </c>
      <c r="D506" t="s">
        <v>10</v>
      </c>
      <c r="E506" t="str">
        <f>IF(Churn_part[[#This Row],[Type_Forfait]]="Pro Monde", "B2B", "B2C")</f>
        <v>B2C</v>
      </c>
      <c r="F506">
        <v>350</v>
      </c>
      <c r="G506" s="8">
        <v>80.48</v>
      </c>
      <c r="H506">
        <v>3</v>
      </c>
      <c r="I50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06" s="8">
        <f>Churn_part[[#This Row],[Facture_Mensuelle]]*Churn_part[[#This Row],[Remise Client]]</f>
        <v>36.216000000000001</v>
      </c>
    </row>
    <row r="507" spans="1:10" x14ac:dyDescent="0.3">
      <c r="A507" t="s">
        <v>543</v>
      </c>
      <c r="B507" t="s">
        <v>17</v>
      </c>
      <c r="C507">
        <v>46</v>
      </c>
      <c r="D507" t="s">
        <v>13</v>
      </c>
      <c r="E507" t="str">
        <f>IF(Churn_part[[#This Row],[Type_Forfait]]="Pro Monde", "B2B", "B2C")</f>
        <v>B2B</v>
      </c>
      <c r="F507">
        <v>216</v>
      </c>
      <c r="G507" s="8">
        <v>63.74</v>
      </c>
      <c r="H507">
        <v>4</v>
      </c>
      <c r="I50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07" s="8">
        <f>Churn_part[[#This Row],[Facture_Mensuelle]]*Churn_part[[#This Row],[Remise Client]]</f>
        <v>6.3740000000000006</v>
      </c>
    </row>
    <row r="508" spans="1:10" x14ac:dyDescent="0.3">
      <c r="A508" t="s">
        <v>544</v>
      </c>
      <c r="B508" t="s">
        <v>30</v>
      </c>
      <c r="C508">
        <v>12</v>
      </c>
      <c r="D508" t="s">
        <v>21</v>
      </c>
      <c r="E508" t="str">
        <f>IF(Churn_part[[#This Row],[Type_Forfait]]="Pro Monde", "B2B", "B2C")</f>
        <v>B2C</v>
      </c>
      <c r="F508">
        <v>138</v>
      </c>
      <c r="G508" s="8">
        <v>17</v>
      </c>
      <c r="H508">
        <v>2</v>
      </c>
      <c r="I50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08" s="8">
        <f>Churn_part[[#This Row],[Facture_Mensuelle]]*Churn_part[[#This Row],[Remise Client]]</f>
        <v>0</v>
      </c>
    </row>
    <row r="509" spans="1:10" x14ac:dyDescent="0.3">
      <c r="A509" t="s">
        <v>545</v>
      </c>
      <c r="B509" t="s">
        <v>15</v>
      </c>
      <c r="C509">
        <v>10</v>
      </c>
      <c r="D509" t="s">
        <v>13</v>
      </c>
      <c r="E509" t="str">
        <f>IF(Churn_part[[#This Row],[Type_Forfait]]="Pro Monde", "B2B", "B2C")</f>
        <v>B2B</v>
      </c>
      <c r="F509">
        <v>129</v>
      </c>
      <c r="G509" s="8">
        <v>70.12</v>
      </c>
      <c r="H509">
        <v>0</v>
      </c>
      <c r="I50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09" s="8">
        <f>Churn_part[[#This Row],[Facture_Mensuelle]]*Churn_part[[#This Row],[Remise Client]]</f>
        <v>7.0120000000000005</v>
      </c>
    </row>
    <row r="510" spans="1:10" x14ac:dyDescent="0.3">
      <c r="A510" t="s">
        <v>546</v>
      </c>
      <c r="B510" t="s">
        <v>72</v>
      </c>
      <c r="C510">
        <v>23</v>
      </c>
      <c r="D510" t="s">
        <v>18</v>
      </c>
      <c r="E510" t="str">
        <f>IF(Churn_part[[#This Row],[Type_Forfait]]="Pro Monde", "B2B", "B2C")</f>
        <v>B2C</v>
      </c>
      <c r="F510">
        <v>325</v>
      </c>
      <c r="G510" s="8">
        <v>65.489999999999995</v>
      </c>
      <c r="H510">
        <v>1</v>
      </c>
      <c r="I51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10" s="8">
        <f>Churn_part[[#This Row],[Facture_Mensuelle]]*Churn_part[[#This Row],[Remise Client]]</f>
        <v>29.470499999999998</v>
      </c>
    </row>
    <row r="511" spans="1:10" x14ac:dyDescent="0.3">
      <c r="A511" t="s">
        <v>547</v>
      </c>
      <c r="B511" t="s">
        <v>135</v>
      </c>
      <c r="C511">
        <v>91</v>
      </c>
      <c r="D511" t="s">
        <v>21</v>
      </c>
      <c r="E511" t="str">
        <f>IF(Churn_part[[#This Row],[Type_Forfait]]="Pro Monde", "B2B", "B2C")</f>
        <v>B2C</v>
      </c>
      <c r="F511">
        <v>90</v>
      </c>
      <c r="G511" s="8">
        <v>39.14</v>
      </c>
      <c r="H511">
        <v>3</v>
      </c>
      <c r="I51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11" s="8">
        <f>Churn_part[[#This Row],[Facture_Mensuelle]]*Churn_part[[#This Row],[Remise Client]]</f>
        <v>0</v>
      </c>
    </row>
    <row r="512" spans="1:10" x14ac:dyDescent="0.3">
      <c r="A512" t="s">
        <v>548</v>
      </c>
      <c r="B512" t="s">
        <v>77</v>
      </c>
      <c r="C512">
        <v>99</v>
      </c>
      <c r="D512" t="s">
        <v>13</v>
      </c>
      <c r="E512" t="str">
        <f>IF(Churn_part[[#This Row],[Type_Forfait]]="Pro Monde", "B2B", "B2C")</f>
        <v>B2B</v>
      </c>
      <c r="F512">
        <v>42</v>
      </c>
      <c r="G512" s="8">
        <v>98.77</v>
      </c>
      <c r="H512">
        <v>3</v>
      </c>
      <c r="I51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12" s="8">
        <f>Churn_part[[#This Row],[Facture_Mensuelle]]*Churn_part[[#This Row],[Remise Client]]</f>
        <v>9.8770000000000007</v>
      </c>
    </row>
    <row r="513" spans="1:10" x14ac:dyDescent="0.3">
      <c r="A513" t="s">
        <v>549</v>
      </c>
      <c r="B513" t="s">
        <v>125</v>
      </c>
      <c r="C513">
        <v>59</v>
      </c>
      <c r="D513" t="s">
        <v>13</v>
      </c>
      <c r="E513" t="str">
        <f>IF(Churn_part[[#This Row],[Type_Forfait]]="Pro Monde", "B2B", "B2C")</f>
        <v>B2B</v>
      </c>
      <c r="F513">
        <v>72</v>
      </c>
      <c r="G513" s="8">
        <v>94.51</v>
      </c>
      <c r="H513">
        <v>2</v>
      </c>
      <c r="I51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13" s="8">
        <f>Churn_part[[#This Row],[Facture_Mensuelle]]*Churn_part[[#This Row],[Remise Client]]</f>
        <v>9.4510000000000005</v>
      </c>
    </row>
    <row r="514" spans="1:10" x14ac:dyDescent="0.3">
      <c r="A514" t="s">
        <v>550</v>
      </c>
      <c r="B514" t="s">
        <v>23</v>
      </c>
      <c r="C514">
        <v>34</v>
      </c>
      <c r="D514" t="s">
        <v>18</v>
      </c>
      <c r="E514" t="str">
        <f>IF(Churn_part[[#This Row],[Type_Forfait]]="Pro Monde", "B2B", "B2C")</f>
        <v>B2C</v>
      </c>
      <c r="F514">
        <v>35</v>
      </c>
      <c r="G514" s="8">
        <v>76.86</v>
      </c>
      <c r="H514">
        <v>1</v>
      </c>
      <c r="I51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14" s="8">
        <f>Churn_part[[#This Row],[Facture_Mensuelle]]*Churn_part[[#This Row],[Remise Client]]</f>
        <v>0</v>
      </c>
    </row>
    <row r="515" spans="1:10" x14ac:dyDescent="0.3">
      <c r="A515" t="s">
        <v>551</v>
      </c>
      <c r="B515" t="s">
        <v>43</v>
      </c>
      <c r="C515">
        <v>61</v>
      </c>
      <c r="D515" t="s">
        <v>10</v>
      </c>
      <c r="E515" t="str">
        <f>IF(Churn_part[[#This Row],[Type_Forfait]]="Pro Monde", "B2B", "B2C")</f>
        <v>B2C</v>
      </c>
      <c r="F515">
        <v>140</v>
      </c>
      <c r="G515" s="8">
        <v>76.3</v>
      </c>
      <c r="H515">
        <v>4</v>
      </c>
      <c r="I51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15" s="8">
        <f>Churn_part[[#This Row],[Facture_Mensuelle]]*Churn_part[[#This Row],[Remise Client]]</f>
        <v>0</v>
      </c>
    </row>
    <row r="516" spans="1:10" x14ac:dyDescent="0.3">
      <c r="A516" t="s">
        <v>552</v>
      </c>
      <c r="B516" t="s">
        <v>77</v>
      </c>
      <c r="C516">
        <v>33</v>
      </c>
      <c r="D516" t="s">
        <v>13</v>
      </c>
      <c r="E516" t="str">
        <f>IF(Churn_part[[#This Row],[Type_Forfait]]="Pro Monde", "B2B", "B2C")</f>
        <v>B2B</v>
      </c>
      <c r="F516">
        <v>207</v>
      </c>
      <c r="G516" s="8">
        <v>38.49</v>
      </c>
      <c r="H516">
        <v>4</v>
      </c>
      <c r="I51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16" s="8">
        <f>Churn_part[[#This Row],[Facture_Mensuelle]]*Churn_part[[#This Row],[Remise Client]]</f>
        <v>3.8490000000000002</v>
      </c>
    </row>
    <row r="517" spans="1:10" x14ac:dyDescent="0.3">
      <c r="A517" t="s">
        <v>553</v>
      </c>
      <c r="B517" t="s">
        <v>34</v>
      </c>
      <c r="C517">
        <v>98</v>
      </c>
      <c r="D517" t="s">
        <v>13</v>
      </c>
      <c r="E517" t="str">
        <f>IF(Churn_part[[#This Row],[Type_Forfait]]="Pro Monde", "B2B", "B2C")</f>
        <v>B2B</v>
      </c>
      <c r="F517">
        <v>41</v>
      </c>
      <c r="G517" s="8">
        <v>23.55</v>
      </c>
      <c r="H517">
        <v>1</v>
      </c>
      <c r="I51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17" s="8">
        <f>Churn_part[[#This Row],[Facture_Mensuelle]]*Churn_part[[#This Row],[Remise Client]]</f>
        <v>2.355</v>
      </c>
    </row>
    <row r="518" spans="1:10" x14ac:dyDescent="0.3">
      <c r="A518" t="s">
        <v>554</v>
      </c>
      <c r="B518" t="s">
        <v>20</v>
      </c>
      <c r="C518">
        <v>113</v>
      </c>
      <c r="D518" t="s">
        <v>13</v>
      </c>
      <c r="E518" t="str">
        <f>IF(Churn_part[[#This Row],[Type_Forfait]]="Pro Monde", "B2B", "B2C")</f>
        <v>B2B</v>
      </c>
      <c r="F518">
        <v>152</v>
      </c>
      <c r="G518" s="8">
        <v>51.28</v>
      </c>
      <c r="H518">
        <v>4</v>
      </c>
      <c r="I51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18" s="8">
        <f>Churn_part[[#This Row],[Facture_Mensuelle]]*Churn_part[[#This Row],[Remise Client]]</f>
        <v>5.1280000000000001</v>
      </c>
    </row>
    <row r="519" spans="1:10" x14ac:dyDescent="0.3">
      <c r="A519" t="s">
        <v>555</v>
      </c>
      <c r="B519" t="s">
        <v>30</v>
      </c>
      <c r="C519">
        <v>57</v>
      </c>
      <c r="D519" t="s">
        <v>18</v>
      </c>
      <c r="E519" t="str">
        <f>IF(Churn_part[[#This Row],[Type_Forfait]]="Pro Monde", "B2B", "B2C")</f>
        <v>B2C</v>
      </c>
      <c r="F519">
        <v>447</v>
      </c>
      <c r="G519" s="8">
        <v>23.27</v>
      </c>
      <c r="H519">
        <v>3</v>
      </c>
      <c r="I51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19" s="8">
        <f>Churn_part[[#This Row],[Facture_Mensuelle]]*Churn_part[[#This Row],[Remise Client]]</f>
        <v>10.471500000000001</v>
      </c>
    </row>
    <row r="520" spans="1:10" x14ac:dyDescent="0.3">
      <c r="A520" t="s">
        <v>556</v>
      </c>
      <c r="B520" t="s">
        <v>9</v>
      </c>
      <c r="C520">
        <v>84</v>
      </c>
      <c r="D520" t="s">
        <v>18</v>
      </c>
      <c r="E520" t="str">
        <f>IF(Churn_part[[#This Row],[Type_Forfait]]="Pro Monde", "B2B", "B2C")</f>
        <v>B2C</v>
      </c>
      <c r="F520">
        <v>364</v>
      </c>
      <c r="G520" s="8">
        <v>87.79</v>
      </c>
      <c r="H520">
        <v>3</v>
      </c>
      <c r="I52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20" s="8">
        <f>Churn_part[[#This Row],[Facture_Mensuelle]]*Churn_part[[#This Row],[Remise Client]]</f>
        <v>39.505500000000005</v>
      </c>
    </row>
    <row r="521" spans="1:10" x14ac:dyDescent="0.3">
      <c r="A521" t="s">
        <v>557</v>
      </c>
      <c r="B521" t="s">
        <v>61</v>
      </c>
      <c r="C521">
        <v>119</v>
      </c>
      <c r="D521" t="s">
        <v>21</v>
      </c>
      <c r="E521" t="str">
        <f>IF(Churn_part[[#This Row],[Type_Forfait]]="Pro Monde", "B2B", "B2C")</f>
        <v>B2C</v>
      </c>
      <c r="F521">
        <v>231</v>
      </c>
      <c r="G521" s="8">
        <v>20.22</v>
      </c>
      <c r="H521">
        <v>2</v>
      </c>
      <c r="I52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21" s="8">
        <f>Churn_part[[#This Row],[Facture_Mensuelle]]*Churn_part[[#This Row],[Remise Client]]</f>
        <v>0</v>
      </c>
    </row>
    <row r="522" spans="1:10" x14ac:dyDescent="0.3">
      <c r="A522" t="s">
        <v>558</v>
      </c>
      <c r="B522" t="s">
        <v>36</v>
      </c>
      <c r="C522">
        <v>18</v>
      </c>
      <c r="D522" t="s">
        <v>18</v>
      </c>
      <c r="E522" t="str">
        <f>IF(Churn_part[[#This Row],[Type_Forfait]]="Pro Monde", "B2B", "B2C")</f>
        <v>B2C</v>
      </c>
      <c r="F522">
        <v>446</v>
      </c>
      <c r="G522" s="8">
        <v>97.3</v>
      </c>
      <c r="H522">
        <v>5</v>
      </c>
      <c r="I52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22" s="8">
        <f>Churn_part[[#This Row],[Facture_Mensuelle]]*Churn_part[[#This Row],[Remise Client]]</f>
        <v>43.784999999999997</v>
      </c>
    </row>
    <row r="523" spans="1:10" x14ac:dyDescent="0.3">
      <c r="A523" t="s">
        <v>559</v>
      </c>
      <c r="B523" t="s">
        <v>135</v>
      </c>
      <c r="C523">
        <v>16</v>
      </c>
      <c r="D523" t="s">
        <v>13</v>
      </c>
      <c r="E523" t="str">
        <f>IF(Churn_part[[#This Row],[Type_Forfait]]="Pro Monde", "B2B", "B2C")</f>
        <v>B2B</v>
      </c>
      <c r="F523">
        <v>214</v>
      </c>
      <c r="G523" s="8">
        <v>46.57</v>
      </c>
      <c r="H523">
        <v>5</v>
      </c>
      <c r="I52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23" s="8">
        <f>Churn_part[[#This Row],[Facture_Mensuelle]]*Churn_part[[#This Row],[Remise Client]]</f>
        <v>4.657</v>
      </c>
    </row>
    <row r="524" spans="1:10" x14ac:dyDescent="0.3">
      <c r="A524" t="s">
        <v>560</v>
      </c>
      <c r="B524" t="s">
        <v>12</v>
      </c>
      <c r="C524">
        <v>73</v>
      </c>
      <c r="D524" t="s">
        <v>13</v>
      </c>
      <c r="E524" t="str">
        <f>IF(Churn_part[[#This Row],[Type_Forfait]]="Pro Monde", "B2B", "B2C")</f>
        <v>B2B</v>
      </c>
      <c r="F524">
        <v>268</v>
      </c>
      <c r="G524" s="8">
        <v>56.86</v>
      </c>
      <c r="H524">
        <v>5</v>
      </c>
      <c r="I52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24" s="8">
        <f>Churn_part[[#This Row],[Facture_Mensuelle]]*Churn_part[[#This Row],[Remise Client]]</f>
        <v>5.6859999999999999</v>
      </c>
    </row>
    <row r="525" spans="1:10" x14ac:dyDescent="0.3">
      <c r="A525" t="s">
        <v>561</v>
      </c>
      <c r="B525" t="s">
        <v>129</v>
      </c>
      <c r="C525">
        <v>63</v>
      </c>
      <c r="D525" t="s">
        <v>21</v>
      </c>
      <c r="E525" t="str">
        <f>IF(Churn_part[[#This Row],[Type_Forfait]]="Pro Monde", "B2B", "B2C")</f>
        <v>B2C</v>
      </c>
      <c r="F525">
        <v>109</v>
      </c>
      <c r="G525" s="8">
        <v>10.33</v>
      </c>
      <c r="H525">
        <v>3</v>
      </c>
      <c r="I52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25" s="8">
        <f>Churn_part[[#This Row],[Facture_Mensuelle]]*Churn_part[[#This Row],[Remise Client]]</f>
        <v>0</v>
      </c>
    </row>
    <row r="526" spans="1:10" x14ac:dyDescent="0.3">
      <c r="A526" t="s">
        <v>562</v>
      </c>
      <c r="B526" t="s">
        <v>56</v>
      </c>
      <c r="C526">
        <v>6</v>
      </c>
      <c r="D526" t="s">
        <v>13</v>
      </c>
      <c r="E526" t="str">
        <f>IF(Churn_part[[#This Row],[Type_Forfait]]="Pro Monde", "B2B", "B2C")</f>
        <v>B2B</v>
      </c>
      <c r="F526">
        <v>342</v>
      </c>
      <c r="G526" s="8">
        <v>50.55</v>
      </c>
      <c r="H526">
        <v>5</v>
      </c>
      <c r="I52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26" s="8">
        <f>Churn_part[[#This Row],[Facture_Mensuelle]]*Churn_part[[#This Row],[Remise Client]]</f>
        <v>5.0549999999999997</v>
      </c>
    </row>
    <row r="527" spans="1:10" x14ac:dyDescent="0.3">
      <c r="A527" t="s">
        <v>563</v>
      </c>
      <c r="B527" t="s">
        <v>32</v>
      </c>
      <c r="C527">
        <v>47</v>
      </c>
      <c r="D527" t="s">
        <v>10</v>
      </c>
      <c r="E527" t="str">
        <f>IF(Churn_part[[#This Row],[Type_Forfait]]="Pro Monde", "B2B", "B2C")</f>
        <v>B2C</v>
      </c>
      <c r="F527">
        <v>457</v>
      </c>
      <c r="G527" s="8">
        <v>84.93</v>
      </c>
      <c r="H527">
        <v>2</v>
      </c>
      <c r="I52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27" s="8">
        <f>Churn_part[[#This Row],[Facture_Mensuelle]]*Churn_part[[#This Row],[Remise Client]]</f>
        <v>38.218500000000006</v>
      </c>
    </row>
    <row r="528" spans="1:10" x14ac:dyDescent="0.3">
      <c r="A528" t="s">
        <v>564</v>
      </c>
      <c r="B528" t="s">
        <v>30</v>
      </c>
      <c r="C528">
        <v>110</v>
      </c>
      <c r="D528" t="s">
        <v>18</v>
      </c>
      <c r="E528" t="str">
        <f>IF(Churn_part[[#This Row],[Type_Forfait]]="Pro Monde", "B2B", "B2C")</f>
        <v>B2C</v>
      </c>
      <c r="F528">
        <v>132</v>
      </c>
      <c r="G528" s="8">
        <v>21.31</v>
      </c>
      <c r="H528">
        <v>5</v>
      </c>
      <c r="I52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28" s="8">
        <f>Churn_part[[#This Row],[Facture_Mensuelle]]*Churn_part[[#This Row],[Remise Client]]</f>
        <v>0</v>
      </c>
    </row>
    <row r="529" spans="1:10" x14ac:dyDescent="0.3">
      <c r="A529" t="s">
        <v>565</v>
      </c>
      <c r="B529" t="s">
        <v>30</v>
      </c>
      <c r="C529">
        <v>37</v>
      </c>
      <c r="D529" t="s">
        <v>10</v>
      </c>
      <c r="E529" t="str">
        <f>IF(Churn_part[[#This Row],[Type_Forfait]]="Pro Monde", "B2B", "B2C")</f>
        <v>B2C</v>
      </c>
      <c r="F529">
        <v>94</v>
      </c>
      <c r="G529" s="8">
        <v>50.44</v>
      </c>
      <c r="H529">
        <v>4</v>
      </c>
      <c r="I52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29" s="8">
        <f>Churn_part[[#This Row],[Facture_Mensuelle]]*Churn_part[[#This Row],[Remise Client]]</f>
        <v>0</v>
      </c>
    </row>
    <row r="530" spans="1:10" x14ac:dyDescent="0.3">
      <c r="A530" t="s">
        <v>566</v>
      </c>
      <c r="B530" t="s">
        <v>39</v>
      </c>
      <c r="C530">
        <v>52</v>
      </c>
      <c r="D530" t="s">
        <v>10</v>
      </c>
      <c r="E530" t="str">
        <f>IF(Churn_part[[#This Row],[Type_Forfait]]="Pro Monde", "B2B", "B2C")</f>
        <v>B2C</v>
      </c>
      <c r="F530">
        <v>425</v>
      </c>
      <c r="G530" s="8">
        <v>97.25</v>
      </c>
      <c r="H530">
        <v>0</v>
      </c>
      <c r="I53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30" s="8">
        <f>Churn_part[[#This Row],[Facture_Mensuelle]]*Churn_part[[#This Row],[Remise Client]]</f>
        <v>43.762500000000003</v>
      </c>
    </row>
    <row r="531" spans="1:10" x14ac:dyDescent="0.3">
      <c r="A531" t="s">
        <v>567</v>
      </c>
      <c r="B531" t="s">
        <v>43</v>
      </c>
      <c r="C531">
        <v>53</v>
      </c>
      <c r="D531" t="s">
        <v>13</v>
      </c>
      <c r="E531" t="str">
        <f>IF(Churn_part[[#This Row],[Type_Forfait]]="Pro Monde", "B2B", "B2C")</f>
        <v>B2B</v>
      </c>
      <c r="F531">
        <v>27</v>
      </c>
      <c r="G531" s="8">
        <v>18.77</v>
      </c>
      <c r="H531">
        <v>0</v>
      </c>
      <c r="I53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31" s="8">
        <f>Churn_part[[#This Row],[Facture_Mensuelle]]*Churn_part[[#This Row],[Remise Client]]</f>
        <v>1.877</v>
      </c>
    </row>
    <row r="532" spans="1:10" x14ac:dyDescent="0.3">
      <c r="A532" t="s">
        <v>568</v>
      </c>
      <c r="B532" t="s">
        <v>87</v>
      </c>
      <c r="C532">
        <v>110</v>
      </c>
      <c r="D532" t="s">
        <v>21</v>
      </c>
      <c r="E532" t="str">
        <f>IF(Churn_part[[#This Row],[Type_Forfait]]="Pro Monde", "B2B", "B2C")</f>
        <v>B2C</v>
      </c>
      <c r="F532">
        <v>47</v>
      </c>
      <c r="G532" s="8">
        <v>29.68</v>
      </c>
      <c r="H532">
        <v>0</v>
      </c>
      <c r="I53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32" s="8">
        <f>Churn_part[[#This Row],[Facture_Mensuelle]]*Churn_part[[#This Row],[Remise Client]]</f>
        <v>0</v>
      </c>
    </row>
    <row r="533" spans="1:10" x14ac:dyDescent="0.3">
      <c r="A533" t="s">
        <v>569</v>
      </c>
      <c r="B533" t="s">
        <v>15</v>
      </c>
      <c r="C533">
        <v>80</v>
      </c>
      <c r="D533" t="s">
        <v>13</v>
      </c>
      <c r="E533" t="str">
        <f>IF(Churn_part[[#This Row],[Type_Forfait]]="Pro Monde", "B2B", "B2C")</f>
        <v>B2B</v>
      </c>
      <c r="F533">
        <v>458</v>
      </c>
      <c r="G533" s="8">
        <v>98.11</v>
      </c>
      <c r="H533">
        <v>0</v>
      </c>
      <c r="I53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33" s="8">
        <f>Churn_part[[#This Row],[Facture_Mensuelle]]*Churn_part[[#This Row],[Remise Client]]</f>
        <v>9.8109999999999999</v>
      </c>
    </row>
    <row r="534" spans="1:10" x14ac:dyDescent="0.3">
      <c r="A534" t="s">
        <v>570</v>
      </c>
      <c r="B534" t="s">
        <v>25</v>
      </c>
      <c r="C534">
        <v>118</v>
      </c>
      <c r="D534" t="s">
        <v>18</v>
      </c>
      <c r="E534" t="str">
        <f>IF(Churn_part[[#This Row],[Type_Forfait]]="Pro Monde", "B2B", "B2C")</f>
        <v>B2C</v>
      </c>
      <c r="F534">
        <v>461</v>
      </c>
      <c r="G534" s="8">
        <v>47.82</v>
      </c>
      <c r="H534">
        <v>5</v>
      </c>
      <c r="I53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34" s="8">
        <f>Churn_part[[#This Row],[Facture_Mensuelle]]*Churn_part[[#This Row],[Remise Client]]</f>
        <v>21.519000000000002</v>
      </c>
    </row>
    <row r="535" spans="1:10" x14ac:dyDescent="0.3">
      <c r="A535" t="s">
        <v>571</v>
      </c>
      <c r="B535" t="s">
        <v>50</v>
      </c>
      <c r="C535">
        <v>88</v>
      </c>
      <c r="D535" t="s">
        <v>10</v>
      </c>
      <c r="E535" t="str">
        <f>IF(Churn_part[[#This Row],[Type_Forfait]]="Pro Monde", "B2B", "B2C")</f>
        <v>B2C</v>
      </c>
      <c r="F535">
        <v>219</v>
      </c>
      <c r="G535" s="8">
        <v>59.15</v>
      </c>
      <c r="H535">
        <v>0</v>
      </c>
      <c r="I53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35" s="8">
        <f>Churn_part[[#This Row],[Facture_Mensuelle]]*Churn_part[[#This Row],[Remise Client]]</f>
        <v>0</v>
      </c>
    </row>
    <row r="536" spans="1:10" x14ac:dyDescent="0.3">
      <c r="A536" t="s">
        <v>572</v>
      </c>
      <c r="B536" t="s">
        <v>23</v>
      </c>
      <c r="C536">
        <v>17</v>
      </c>
      <c r="D536" t="s">
        <v>13</v>
      </c>
      <c r="E536" t="str">
        <f>IF(Churn_part[[#This Row],[Type_Forfait]]="Pro Monde", "B2B", "B2C")</f>
        <v>B2B</v>
      </c>
      <c r="F536">
        <v>175</v>
      </c>
      <c r="G536" s="8">
        <v>24.95</v>
      </c>
      <c r="H536">
        <v>4</v>
      </c>
      <c r="I53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36" s="8">
        <f>Churn_part[[#This Row],[Facture_Mensuelle]]*Churn_part[[#This Row],[Remise Client]]</f>
        <v>2.4950000000000001</v>
      </c>
    </row>
    <row r="537" spans="1:10" x14ac:dyDescent="0.3">
      <c r="A537" t="s">
        <v>573</v>
      </c>
      <c r="B537" t="s">
        <v>63</v>
      </c>
      <c r="C537">
        <v>57</v>
      </c>
      <c r="D537" t="s">
        <v>18</v>
      </c>
      <c r="E537" t="str">
        <f>IF(Churn_part[[#This Row],[Type_Forfait]]="Pro Monde", "B2B", "B2C")</f>
        <v>B2C</v>
      </c>
      <c r="F537">
        <v>493</v>
      </c>
      <c r="G537" s="8">
        <v>43.98</v>
      </c>
      <c r="H537">
        <v>3</v>
      </c>
      <c r="I53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37" s="8">
        <f>Churn_part[[#This Row],[Facture_Mensuelle]]*Churn_part[[#This Row],[Remise Client]]</f>
        <v>19.791</v>
      </c>
    </row>
    <row r="538" spans="1:10" x14ac:dyDescent="0.3">
      <c r="A538" t="s">
        <v>574</v>
      </c>
      <c r="B538" t="s">
        <v>43</v>
      </c>
      <c r="C538">
        <v>47</v>
      </c>
      <c r="D538" t="s">
        <v>21</v>
      </c>
      <c r="E538" t="str">
        <f>IF(Churn_part[[#This Row],[Type_Forfait]]="Pro Monde", "B2B", "B2C")</f>
        <v>B2C</v>
      </c>
      <c r="F538">
        <v>385</v>
      </c>
      <c r="G538" s="8">
        <v>41.33</v>
      </c>
      <c r="H538">
        <v>0</v>
      </c>
      <c r="I53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38" s="8">
        <f>Churn_part[[#This Row],[Facture_Mensuelle]]*Churn_part[[#This Row],[Remise Client]]</f>
        <v>18.598500000000001</v>
      </c>
    </row>
    <row r="539" spans="1:10" x14ac:dyDescent="0.3">
      <c r="A539" t="s">
        <v>575</v>
      </c>
      <c r="B539" t="s">
        <v>135</v>
      </c>
      <c r="C539">
        <v>66</v>
      </c>
      <c r="D539" t="s">
        <v>13</v>
      </c>
      <c r="E539" t="str">
        <f>IF(Churn_part[[#This Row],[Type_Forfait]]="Pro Monde", "B2B", "B2C")</f>
        <v>B2B</v>
      </c>
      <c r="F539">
        <v>152</v>
      </c>
      <c r="G539" s="8">
        <v>95.71</v>
      </c>
      <c r="H539">
        <v>3</v>
      </c>
      <c r="I53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39" s="8">
        <f>Churn_part[[#This Row],[Facture_Mensuelle]]*Churn_part[[#This Row],[Remise Client]]</f>
        <v>9.5709999999999997</v>
      </c>
    </row>
    <row r="540" spans="1:10" x14ac:dyDescent="0.3">
      <c r="A540" t="s">
        <v>576</v>
      </c>
      <c r="B540" t="s">
        <v>34</v>
      </c>
      <c r="C540">
        <v>109</v>
      </c>
      <c r="D540" t="s">
        <v>21</v>
      </c>
      <c r="E540" t="str">
        <f>IF(Churn_part[[#This Row],[Type_Forfait]]="Pro Monde", "B2B", "B2C")</f>
        <v>B2C</v>
      </c>
      <c r="F540">
        <v>84</v>
      </c>
      <c r="G540" s="8">
        <v>97.46</v>
      </c>
      <c r="H540">
        <v>5</v>
      </c>
      <c r="I54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40" s="8">
        <f>Churn_part[[#This Row],[Facture_Mensuelle]]*Churn_part[[#This Row],[Remise Client]]</f>
        <v>0</v>
      </c>
    </row>
    <row r="541" spans="1:10" x14ac:dyDescent="0.3">
      <c r="A541" t="s">
        <v>577</v>
      </c>
      <c r="B541" t="s">
        <v>59</v>
      </c>
      <c r="C541">
        <v>80</v>
      </c>
      <c r="D541" t="s">
        <v>21</v>
      </c>
      <c r="E541" t="str">
        <f>IF(Churn_part[[#This Row],[Type_Forfait]]="Pro Monde", "B2B", "B2C")</f>
        <v>B2C</v>
      </c>
      <c r="F541">
        <v>101</v>
      </c>
      <c r="G541" s="8">
        <v>61.92</v>
      </c>
      <c r="H541">
        <v>4</v>
      </c>
      <c r="I54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41" s="8">
        <f>Churn_part[[#This Row],[Facture_Mensuelle]]*Churn_part[[#This Row],[Remise Client]]</f>
        <v>0</v>
      </c>
    </row>
    <row r="542" spans="1:10" x14ac:dyDescent="0.3">
      <c r="A542" t="s">
        <v>578</v>
      </c>
      <c r="B542" t="s">
        <v>23</v>
      </c>
      <c r="C542">
        <v>41</v>
      </c>
      <c r="D542" t="s">
        <v>10</v>
      </c>
      <c r="E542" t="str">
        <f>IF(Churn_part[[#This Row],[Type_Forfait]]="Pro Monde", "B2B", "B2C")</f>
        <v>B2C</v>
      </c>
      <c r="F542">
        <v>178</v>
      </c>
      <c r="G542" s="8">
        <v>11.29</v>
      </c>
      <c r="H542">
        <v>4</v>
      </c>
      <c r="I54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42" s="8">
        <f>Churn_part[[#This Row],[Facture_Mensuelle]]*Churn_part[[#This Row],[Remise Client]]</f>
        <v>0</v>
      </c>
    </row>
    <row r="543" spans="1:10" x14ac:dyDescent="0.3">
      <c r="A543" t="s">
        <v>579</v>
      </c>
      <c r="B543" t="s">
        <v>23</v>
      </c>
      <c r="C543">
        <v>48</v>
      </c>
      <c r="D543" t="s">
        <v>18</v>
      </c>
      <c r="E543" t="str">
        <f>IF(Churn_part[[#This Row],[Type_Forfait]]="Pro Monde", "B2B", "B2C")</f>
        <v>B2C</v>
      </c>
      <c r="F543">
        <v>482</v>
      </c>
      <c r="G543" s="8">
        <v>83.24</v>
      </c>
      <c r="H543">
        <v>0</v>
      </c>
      <c r="I54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43" s="8">
        <f>Churn_part[[#This Row],[Facture_Mensuelle]]*Churn_part[[#This Row],[Remise Client]]</f>
        <v>37.457999999999998</v>
      </c>
    </row>
    <row r="544" spans="1:10" x14ac:dyDescent="0.3">
      <c r="A544" t="s">
        <v>580</v>
      </c>
      <c r="B544" t="s">
        <v>39</v>
      </c>
      <c r="C544">
        <v>11</v>
      </c>
      <c r="D544" t="s">
        <v>13</v>
      </c>
      <c r="E544" t="str">
        <f>IF(Churn_part[[#This Row],[Type_Forfait]]="Pro Monde", "B2B", "B2C")</f>
        <v>B2B</v>
      </c>
      <c r="F544">
        <v>214</v>
      </c>
      <c r="G544" s="8">
        <v>11.46</v>
      </c>
      <c r="H544">
        <v>5</v>
      </c>
      <c r="I54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44" s="8">
        <f>Churn_part[[#This Row],[Facture_Mensuelle]]*Churn_part[[#This Row],[Remise Client]]</f>
        <v>1.1460000000000001</v>
      </c>
    </row>
    <row r="545" spans="1:10" x14ac:dyDescent="0.3">
      <c r="A545" t="s">
        <v>581</v>
      </c>
      <c r="B545" t="s">
        <v>25</v>
      </c>
      <c r="C545">
        <v>88</v>
      </c>
      <c r="D545" t="s">
        <v>18</v>
      </c>
      <c r="E545" t="str">
        <f>IF(Churn_part[[#This Row],[Type_Forfait]]="Pro Monde", "B2B", "B2C")</f>
        <v>B2C</v>
      </c>
      <c r="F545">
        <v>246</v>
      </c>
      <c r="G545" s="8">
        <v>90.7</v>
      </c>
      <c r="H545">
        <v>3</v>
      </c>
      <c r="I54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45" s="8">
        <f>Churn_part[[#This Row],[Facture_Mensuelle]]*Churn_part[[#This Row],[Remise Client]]</f>
        <v>40.815000000000005</v>
      </c>
    </row>
    <row r="546" spans="1:10" x14ac:dyDescent="0.3">
      <c r="A546" t="s">
        <v>582</v>
      </c>
      <c r="B546" t="s">
        <v>50</v>
      </c>
      <c r="C546">
        <v>53</v>
      </c>
      <c r="D546" t="s">
        <v>10</v>
      </c>
      <c r="E546" t="str">
        <f>IF(Churn_part[[#This Row],[Type_Forfait]]="Pro Monde", "B2B", "B2C")</f>
        <v>B2C</v>
      </c>
      <c r="F546">
        <v>243</v>
      </c>
      <c r="G546" s="8">
        <v>55.19</v>
      </c>
      <c r="H546">
        <v>4</v>
      </c>
      <c r="I54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46" s="8">
        <f>Churn_part[[#This Row],[Facture_Mensuelle]]*Churn_part[[#This Row],[Remise Client]]</f>
        <v>24.8355</v>
      </c>
    </row>
    <row r="547" spans="1:10" x14ac:dyDescent="0.3">
      <c r="A547" t="s">
        <v>583</v>
      </c>
      <c r="B547" t="s">
        <v>125</v>
      </c>
      <c r="C547">
        <v>65</v>
      </c>
      <c r="D547" t="s">
        <v>13</v>
      </c>
      <c r="E547" t="str">
        <f>IF(Churn_part[[#This Row],[Type_Forfait]]="Pro Monde", "B2B", "B2C")</f>
        <v>B2B</v>
      </c>
      <c r="F547">
        <v>274</v>
      </c>
      <c r="G547" s="8">
        <v>88.1</v>
      </c>
      <c r="H547">
        <v>4</v>
      </c>
      <c r="I54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47" s="8">
        <f>Churn_part[[#This Row],[Facture_Mensuelle]]*Churn_part[[#This Row],[Remise Client]]</f>
        <v>8.81</v>
      </c>
    </row>
    <row r="548" spans="1:10" x14ac:dyDescent="0.3">
      <c r="A548" t="s">
        <v>584</v>
      </c>
      <c r="B548" t="s">
        <v>77</v>
      </c>
      <c r="C548">
        <v>58</v>
      </c>
      <c r="D548" t="s">
        <v>13</v>
      </c>
      <c r="E548" t="str">
        <f>IF(Churn_part[[#This Row],[Type_Forfait]]="Pro Monde", "B2B", "B2C")</f>
        <v>B2B</v>
      </c>
      <c r="F548">
        <v>352</v>
      </c>
      <c r="G548" s="8">
        <v>72.94</v>
      </c>
      <c r="H548">
        <v>0</v>
      </c>
      <c r="I54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48" s="8">
        <f>Churn_part[[#This Row],[Facture_Mensuelle]]*Churn_part[[#This Row],[Remise Client]]</f>
        <v>7.2940000000000005</v>
      </c>
    </row>
    <row r="549" spans="1:10" x14ac:dyDescent="0.3">
      <c r="A549" t="s">
        <v>585</v>
      </c>
      <c r="B549" t="s">
        <v>28</v>
      </c>
      <c r="C549">
        <v>34</v>
      </c>
      <c r="D549" t="s">
        <v>21</v>
      </c>
      <c r="E549" t="str">
        <f>IF(Churn_part[[#This Row],[Type_Forfait]]="Pro Monde", "B2B", "B2C")</f>
        <v>B2C</v>
      </c>
      <c r="F549">
        <v>401</v>
      </c>
      <c r="G549" s="8">
        <v>68.400000000000006</v>
      </c>
      <c r="H549">
        <v>5</v>
      </c>
      <c r="I54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49" s="8">
        <f>Churn_part[[#This Row],[Facture_Mensuelle]]*Churn_part[[#This Row],[Remise Client]]</f>
        <v>30.780000000000005</v>
      </c>
    </row>
    <row r="550" spans="1:10" x14ac:dyDescent="0.3">
      <c r="A550" t="s">
        <v>586</v>
      </c>
      <c r="B550" t="s">
        <v>56</v>
      </c>
      <c r="C550">
        <v>51</v>
      </c>
      <c r="D550" t="s">
        <v>21</v>
      </c>
      <c r="E550" t="str">
        <f>IF(Churn_part[[#This Row],[Type_Forfait]]="Pro Monde", "B2B", "B2C")</f>
        <v>B2C</v>
      </c>
      <c r="F550">
        <v>152</v>
      </c>
      <c r="G550" s="8">
        <v>34.630000000000003</v>
      </c>
      <c r="H550">
        <v>2</v>
      </c>
      <c r="I55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50" s="8">
        <f>Churn_part[[#This Row],[Facture_Mensuelle]]*Churn_part[[#This Row],[Remise Client]]</f>
        <v>0</v>
      </c>
    </row>
    <row r="551" spans="1:10" x14ac:dyDescent="0.3">
      <c r="A551" t="s">
        <v>587</v>
      </c>
      <c r="B551" t="s">
        <v>135</v>
      </c>
      <c r="C551">
        <v>25</v>
      </c>
      <c r="D551" t="s">
        <v>18</v>
      </c>
      <c r="E551" t="str">
        <f>IF(Churn_part[[#This Row],[Type_Forfait]]="Pro Monde", "B2B", "B2C")</f>
        <v>B2C</v>
      </c>
      <c r="F551">
        <v>5</v>
      </c>
      <c r="G551" s="8">
        <v>27.93</v>
      </c>
      <c r="H551">
        <v>0</v>
      </c>
      <c r="I55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51" s="8">
        <f>Churn_part[[#This Row],[Facture_Mensuelle]]*Churn_part[[#This Row],[Remise Client]]</f>
        <v>0</v>
      </c>
    </row>
    <row r="552" spans="1:10" x14ac:dyDescent="0.3">
      <c r="A552" t="s">
        <v>588</v>
      </c>
      <c r="B552" t="s">
        <v>125</v>
      </c>
      <c r="C552">
        <v>79</v>
      </c>
      <c r="D552" t="s">
        <v>18</v>
      </c>
      <c r="E552" t="str">
        <f>IF(Churn_part[[#This Row],[Type_Forfait]]="Pro Monde", "B2B", "B2C")</f>
        <v>B2C</v>
      </c>
      <c r="F552">
        <v>462</v>
      </c>
      <c r="G552" s="8">
        <v>18.28</v>
      </c>
      <c r="H552">
        <v>0</v>
      </c>
      <c r="I55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52" s="8">
        <f>Churn_part[[#This Row],[Facture_Mensuelle]]*Churn_part[[#This Row],[Remise Client]]</f>
        <v>8.2260000000000009</v>
      </c>
    </row>
    <row r="553" spans="1:10" x14ac:dyDescent="0.3">
      <c r="A553" t="s">
        <v>589</v>
      </c>
      <c r="B553" t="s">
        <v>59</v>
      </c>
      <c r="C553">
        <v>83</v>
      </c>
      <c r="D553" t="s">
        <v>13</v>
      </c>
      <c r="E553" t="str">
        <f>IF(Churn_part[[#This Row],[Type_Forfait]]="Pro Monde", "B2B", "B2C")</f>
        <v>B2B</v>
      </c>
      <c r="F553">
        <v>91</v>
      </c>
      <c r="G553" s="8">
        <v>73.73</v>
      </c>
      <c r="H553">
        <v>2</v>
      </c>
      <c r="I55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53" s="8">
        <f>Churn_part[[#This Row],[Facture_Mensuelle]]*Churn_part[[#This Row],[Remise Client]]</f>
        <v>7.3730000000000011</v>
      </c>
    </row>
    <row r="554" spans="1:10" x14ac:dyDescent="0.3">
      <c r="A554" t="s">
        <v>590</v>
      </c>
      <c r="B554" t="s">
        <v>129</v>
      </c>
      <c r="C554">
        <v>51</v>
      </c>
      <c r="D554" t="s">
        <v>18</v>
      </c>
      <c r="E554" t="str">
        <f>IF(Churn_part[[#This Row],[Type_Forfait]]="Pro Monde", "B2B", "B2C")</f>
        <v>B2C</v>
      </c>
      <c r="F554">
        <v>337</v>
      </c>
      <c r="G554" s="8">
        <v>68.67</v>
      </c>
      <c r="H554">
        <v>5</v>
      </c>
      <c r="I55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54" s="8">
        <f>Churn_part[[#This Row],[Facture_Mensuelle]]*Churn_part[[#This Row],[Remise Client]]</f>
        <v>30.901500000000002</v>
      </c>
    </row>
    <row r="555" spans="1:10" x14ac:dyDescent="0.3">
      <c r="A555" t="s">
        <v>591</v>
      </c>
      <c r="B555" t="s">
        <v>50</v>
      </c>
      <c r="C555">
        <v>107</v>
      </c>
      <c r="D555" t="s">
        <v>21</v>
      </c>
      <c r="E555" t="str">
        <f>IF(Churn_part[[#This Row],[Type_Forfait]]="Pro Monde", "B2B", "B2C")</f>
        <v>B2C</v>
      </c>
      <c r="F555">
        <v>290</v>
      </c>
      <c r="G555" s="8">
        <v>52.03</v>
      </c>
      <c r="H555">
        <v>0</v>
      </c>
      <c r="I55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55" s="8">
        <f>Churn_part[[#This Row],[Facture_Mensuelle]]*Churn_part[[#This Row],[Remise Client]]</f>
        <v>23.413500000000003</v>
      </c>
    </row>
    <row r="556" spans="1:10" x14ac:dyDescent="0.3">
      <c r="A556" t="s">
        <v>592</v>
      </c>
      <c r="B556" t="s">
        <v>32</v>
      </c>
      <c r="C556">
        <v>7</v>
      </c>
      <c r="D556" t="s">
        <v>13</v>
      </c>
      <c r="E556" t="str">
        <f>IF(Churn_part[[#This Row],[Type_Forfait]]="Pro Monde", "B2B", "B2C")</f>
        <v>B2B</v>
      </c>
      <c r="F556">
        <v>323</v>
      </c>
      <c r="G556" s="8">
        <v>82.81</v>
      </c>
      <c r="H556">
        <v>5</v>
      </c>
      <c r="I55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56" s="8">
        <f>Churn_part[[#This Row],[Facture_Mensuelle]]*Churn_part[[#This Row],[Remise Client]]</f>
        <v>8.2810000000000006</v>
      </c>
    </row>
    <row r="557" spans="1:10" x14ac:dyDescent="0.3">
      <c r="A557" t="s">
        <v>593</v>
      </c>
      <c r="B557" t="s">
        <v>25</v>
      </c>
      <c r="C557">
        <v>103</v>
      </c>
      <c r="D557" t="s">
        <v>10</v>
      </c>
      <c r="E557" t="str">
        <f>IF(Churn_part[[#This Row],[Type_Forfait]]="Pro Monde", "B2B", "B2C")</f>
        <v>B2C</v>
      </c>
      <c r="F557">
        <v>310</v>
      </c>
      <c r="G557" s="8">
        <v>49.25</v>
      </c>
      <c r="H557">
        <v>2</v>
      </c>
      <c r="I55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57" s="8">
        <f>Churn_part[[#This Row],[Facture_Mensuelle]]*Churn_part[[#This Row],[Remise Client]]</f>
        <v>22.162500000000001</v>
      </c>
    </row>
    <row r="558" spans="1:10" x14ac:dyDescent="0.3">
      <c r="A558" t="s">
        <v>594</v>
      </c>
      <c r="B558" t="s">
        <v>50</v>
      </c>
      <c r="C558">
        <v>120</v>
      </c>
      <c r="D558" t="s">
        <v>21</v>
      </c>
      <c r="E558" t="str">
        <f>IF(Churn_part[[#This Row],[Type_Forfait]]="Pro Monde", "B2B", "B2C")</f>
        <v>B2C</v>
      </c>
      <c r="F558">
        <v>437</v>
      </c>
      <c r="G558" s="8">
        <v>95.17</v>
      </c>
      <c r="H558">
        <v>1</v>
      </c>
      <c r="I55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58" s="8">
        <f>Churn_part[[#This Row],[Facture_Mensuelle]]*Churn_part[[#This Row],[Remise Client]]</f>
        <v>42.826500000000003</v>
      </c>
    </row>
    <row r="559" spans="1:10" x14ac:dyDescent="0.3">
      <c r="A559" t="s">
        <v>595</v>
      </c>
      <c r="B559" t="s">
        <v>20</v>
      </c>
      <c r="C559">
        <v>74</v>
      </c>
      <c r="D559" t="s">
        <v>21</v>
      </c>
      <c r="E559" t="str">
        <f>IF(Churn_part[[#This Row],[Type_Forfait]]="Pro Monde", "B2B", "B2C")</f>
        <v>B2C</v>
      </c>
      <c r="F559">
        <v>16</v>
      </c>
      <c r="G559" s="8">
        <v>93.01</v>
      </c>
      <c r="H559">
        <v>3</v>
      </c>
      <c r="I55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59" s="8">
        <f>Churn_part[[#This Row],[Facture_Mensuelle]]*Churn_part[[#This Row],[Remise Client]]</f>
        <v>0</v>
      </c>
    </row>
    <row r="560" spans="1:10" x14ac:dyDescent="0.3">
      <c r="A560" t="s">
        <v>596</v>
      </c>
      <c r="B560" t="s">
        <v>23</v>
      </c>
      <c r="C560">
        <v>55</v>
      </c>
      <c r="D560" t="s">
        <v>21</v>
      </c>
      <c r="E560" t="str">
        <f>IF(Churn_part[[#This Row],[Type_Forfait]]="Pro Monde", "B2B", "B2C")</f>
        <v>B2C</v>
      </c>
      <c r="F560">
        <v>60</v>
      </c>
      <c r="G560" s="8">
        <v>32.51</v>
      </c>
      <c r="H560">
        <v>4</v>
      </c>
      <c r="I56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60" s="8">
        <f>Churn_part[[#This Row],[Facture_Mensuelle]]*Churn_part[[#This Row],[Remise Client]]</f>
        <v>0</v>
      </c>
    </row>
    <row r="561" spans="1:10" x14ac:dyDescent="0.3">
      <c r="A561" t="s">
        <v>597</v>
      </c>
      <c r="B561" t="s">
        <v>125</v>
      </c>
      <c r="C561">
        <v>17</v>
      </c>
      <c r="D561" t="s">
        <v>10</v>
      </c>
      <c r="E561" t="str">
        <f>IF(Churn_part[[#This Row],[Type_Forfait]]="Pro Monde", "B2B", "B2C")</f>
        <v>B2C</v>
      </c>
      <c r="F561">
        <v>499</v>
      </c>
      <c r="G561" s="8">
        <v>27.81</v>
      </c>
      <c r="H561">
        <v>2</v>
      </c>
      <c r="I56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61" s="8">
        <f>Churn_part[[#This Row],[Facture_Mensuelle]]*Churn_part[[#This Row],[Remise Client]]</f>
        <v>12.5145</v>
      </c>
    </row>
    <row r="562" spans="1:10" x14ac:dyDescent="0.3">
      <c r="A562" t="s">
        <v>598</v>
      </c>
      <c r="B562" t="s">
        <v>9</v>
      </c>
      <c r="C562">
        <v>82</v>
      </c>
      <c r="D562" t="s">
        <v>21</v>
      </c>
      <c r="E562" t="str">
        <f>IF(Churn_part[[#This Row],[Type_Forfait]]="Pro Monde", "B2B", "B2C")</f>
        <v>B2C</v>
      </c>
      <c r="F562">
        <v>175</v>
      </c>
      <c r="G562" s="8">
        <v>86.14</v>
      </c>
      <c r="H562">
        <v>1</v>
      </c>
      <c r="I56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62" s="8">
        <f>Churn_part[[#This Row],[Facture_Mensuelle]]*Churn_part[[#This Row],[Remise Client]]</f>
        <v>0</v>
      </c>
    </row>
    <row r="563" spans="1:10" x14ac:dyDescent="0.3">
      <c r="A563" t="s">
        <v>599</v>
      </c>
      <c r="B563" t="s">
        <v>15</v>
      </c>
      <c r="C563">
        <v>50</v>
      </c>
      <c r="D563" t="s">
        <v>21</v>
      </c>
      <c r="E563" t="str">
        <f>IF(Churn_part[[#This Row],[Type_Forfait]]="Pro Monde", "B2B", "B2C")</f>
        <v>B2C</v>
      </c>
      <c r="F563">
        <v>177</v>
      </c>
      <c r="G563" s="8">
        <v>74.569999999999993</v>
      </c>
      <c r="H563">
        <v>4</v>
      </c>
      <c r="I56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63" s="8">
        <f>Churn_part[[#This Row],[Facture_Mensuelle]]*Churn_part[[#This Row],[Remise Client]]</f>
        <v>0</v>
      </c>
    </row>
    <row r="564" spans="1:10" x14ac:dyDescent="0.3">
      <c r="A564" t="s">
        <v>600</v>
      </c>
      <c r="B564" t="s">
        <v>36</v>
      </c>
      <c r="C564">
        <v>94</v>
      </c>
      <c r="D564" t="s">
        <v>13</v>
      </c>
      <c r="E564" t="str">
        <f>IF(Churn_part[[#This Row],[Type_Forfait]]="Pro Monde", "B2B", "B2C")</f>
        <v>B2B</v>
      </c>
      <c r="F564">
        <v>247</v>
      </c>
      <c r="G564" s="8">
        <v>96.57</v>
      </c>
      <c r="H564">
        <v>0</v>
      </c>
      <c r="I56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64" s="8">
        <f>Churn_part[[#This Row],[Facture_Mensuelle]]*Churn_part[[#This Row],[Remise Client]]</f>
        <v>9.657</v>
      </c>
    </row>
    <row r="565" spans="1:10" x14ac:dyDescent="0.3">
      <c r="A565" t="s">
        <v>601</v>
      </c>
      <c r="B565" t="s">
        <v>23</v>
      </c>
      <c r="C565">
        <v>23</v>
      </c>
      <c r="D565" t="s">
        <v>10</v>
      </c>
      <c r="E565" t="str">
        <f>IF(Churn_part[[#This Row],[Type_Forfait]]="Pro Monde", "B2B", "B2C")</f>
        <v>B2C</v>
      </c>
      <c r="F565">
        <v>314</v>
      </c>
      <c r="G565" s="8">
        <v>19.260000000000002</v>
      </c>
      <c r="H565">
        <v>3</v>
      </c>
      <c r="I56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65" s="8">
        <f>Churn_part[[#This Row],[Facture_Mensuelle]]*Churn_part[[#This Row],[Remise Client]]</f>
        <v>8.6670000000000016</v>
      </c>
    </row>
    <row r="566" spans="1:10" x14ac:dyDescent="0.3">
      <c r="A566" t="s">
        <v>602</v>
      </c>
      <c r="B566" t="s">
        <v>17</v>
      </c>
      <c r="C566">
        <v>52</v>
      </c>
      <c r="D566" t="s">
        <v>18</v>
      </c>
      <c r="E566" t="str">
        <f>IF(Churn_part[[#This Row],[Type_Forfait]]="Pro Monde", "B2B", "B2C")</f>
        <v>B2C</v>
      </c>
      <c r="F566">
        <v>307</v>
      </c>
      <c r="G566" s="8">
        <v>81.38</v>
      </c>
      <c r="H566">
        <v>2</v>
      </c>
      <c r="I56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66" s="8">
        <f>Churn_part[[#This Row],[Facture_Mensuelle]]*Churn_part[[#This Row],[Remise Client]]</f>
        <v>36.621000000000002</v>
      </c>
    </row>
    <row r="567" spans="1:10" x14ac:dyDescent="0.3">
      <c r="A567" t="s">
        <v>603</v>
      </c>
      <c r="B567" t="s">
        <v>129</v>
      </c>
      <c r="C567">
        <v>116</v>
      </c>
      <c r="D567" t="s">
        <v>10</v>
      </c>
      <c r="E567" t="str">
        <f>IF(Churn_part[[#This Row],[Type_Forfait]]="Pro Monde", "B2B", "B2C")</f>
        <v>B2C</v>
      </c>
      <c r="F567">
        <v>279</v>
      </c>
      <c r="G567" s="8">
        <v>62.88</v>
      </c>
      <c r="H567">
        <v>4</v>
      </c>
      <c r="I56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67" s="8">
        <f>Churn_part[[#This Row],[Facture_Mensuelle]]*Churn_part[[#This Row],[Remise Client]]</f>
        <v>28.296000000000003</v>
      </c>
    </row>
    <row r="568" spans="1:10" x14ac:dyDescent="0.3">
      <c r="A568" t="s">
        <v>604</v>
      </c>
      <c r="B568" t="s">
        <v>63</v>
      </c>
      <c r="C568">
        <v>41</v>
      </c>
      <c r="D568" t="s">
        <v>18</v>
      </c>
      <c r="E568" t="str">
        <f>IF(Churn_part[[#This Row],[Type_Forfait]]="Pro Monde", "B2B", "B2C")</f>
        <v>B2C</v>
      </c>
      <c r="F568">
        <v>2</v>
      </c>
      <c r="G568" s="8">
        <v>24.91</v>
      </c>
      <c r="H568">
        <v>1</v>
      </c>
      <c r="I56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68" s="8">
        <f>Churn_part[[#This Row],[Facture_Mensuelle]]*Churn_part[[#This Row],[Remise Client]]</f>
        <v>0</v>
      </c>
    </row>
    <row r="569" spans="1:10" x14ac:dyDescent="0.3">
      <c r="A569" t="s">
        <v>605</v>
      </c>
      <c r="B569" t="s">
        <v>20</v>
      </c>
      <c r="C569">
        <v>67</v>
      </c>
      <c r="D569" t="s">
        <v>21</v>
      </c>
      <c r="E569" t="str">
        <f>IF(Churn_part[[#This Row],[Type_Forfait]]="Pro Monde", "B2B", "B2C")</f>
        <v>B2C</v>
      </c>
      <c r="F569">
        <v>81</v>
      </c>
      <c r="G569" s="8">
        <v>28.52</v>
      </c>
      <c r="H569">
        <v>4</v>
      </c>
      <c r="I56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69" s="8">
        <f>Churn_part[[#This Row],[Facture_Mensuelle]]*Churn_part[[#This Row],[Remise Client]]</f>
        <v>0</v>
      </c>
    </row>
    <row r="570" spans="1:10" x14ac:dyDescent="0.3">
      <c r="A570" t="s">
        <v>606</v>
      </c>
      <c r="B570" t="s">
        <v>23</v>
      </c>
      <c r="C570">
        <v>21</v>
      </c>
      <c r="D570" t="s">
        <v>18</v>
      </c>
      <c r="E570" t="str">
        <f>IF(Churn_part[[#This Row],[Type_Forfait]]="Pro Monde", "B2B", "B2C")</f>
        <v>B2C</v>
      </c>
      <c r="F570">
        <v>267</v>
      </c>
      <c r="G570" s="8">
        <v>74.989999999999995</v>
      </c>
      <c r="H570">
        <v>1</v>
      </c>
      <c r="I57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70" s="8">
        <f>Churn_part[[#This Row],[Facture_Mensuelle]]*Churn_part[[#This Row],[Remise Client]]</f>
        <v>33.7455</v>
      </c>
    </row>
    <row r="571" spans="1:10" x14ac:dyDescent="0.3">
      <c r="A571" t="s">
        <v>607</v>
      </c>
      <c r="B571" t="s">
        <v>56</v>
      </c>
      <c r="C571">
        <v>56</v>
      </c>
      <c r="D571" t="s">
        <v>18</v>
      </c>
      <c r="E571" t="str">
        <f>IF(Churn_part[[#This Row],[Type_Forfait]]="Pro Monde", "B2B", "B2C")</f>
        <v>B2C</v>
      </c>
      <c r="F571">
        <v>379</v>
      </c>
      <c r="G571" s="8">
        <v>49.01</v>
      </c>
      <c r="H571">
        <v>0</v>
      </c>
      <c r="I57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71" s="8">
        <f>Churn_part[[#This Row],[Facture_Mensuelle]]*Churn_part[[#This Row],[Remise Client]]</f>
        <v>22.054500000000001</v>
      </c>
    </row>
    <row r="572" spans="1:10" x14ac:dyDescent="0.3">
      <c r="A572" t="s">
        <v>608</v>
      </c>
      <c r="B572" t="s">
        <v>72</v>
      </c>
      <c r="C572">
        <v>30</v>
      </c>
      <c r="D572" t="s">
        <v>18</v>
      </c>
      <c r="E572" t="str">
        <f>IF(Churn_part[[#This Row],[Type_Forfait]]="Pro Monde", "B2B", "B2C")</f>
        <v>B2C</v>
      </c>
      <c r="F572">
        <v>130</v>
      </c>
      <c r="G572" s="8">
        <v>50.15</v>
      </c>
      <c r="H572">
        <v>4</v>
      </c>
      <c r="I57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72" s="8">
        <f>Churn_part[[#This Row],[Facture_Mensuelle]]*Churn_part[[#This Row],[Remise Client]]</f>
        <v>0</v>
      </c>
    </row>
    <row r="573" spans="1:10" x14ac:dyDescent="0.3">
      <c r="A573" t="s">
        <v>609</v>
      </c>
      <c r="B573" t="s">
        <v>34</v>
      </c>
      <c r="C573">
        <v>13</v>
      </c>
      <c r="D573" t="s">
        <v>13</v>
      </c>
      <c r="E573" t="str">
        <f>IF(Churn_part[[#This Row],[Type_Forfait]]="Pro Monde", "B2B", "B2C")</f>
        <v>B2B</v>
      </c>
      <c r="F573">
        <v>474</v>
      </c>
      <c r="G573" s="8">
        <v>63.67</v>
      </c>
      <c r="H573">
        <v>2</v>
      </c>
      <c r="I57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73" s="8">
        <f>Churn_part[[#This Row],[Facture_Mensuelle]]*Churn_part[[#This Row],[Remise Client]]</f>
        <v>6.3670000000000009</v>
      </c>
    </row>
    <row r="574" spans="1:10" x14ac:dyDescent="0.3">
      <c r="A574" t="s">
        <v>610</v>
      </c>
      <c r="B574" t="s">
        <v>66</v>
      </c>
      <c r="C574">
        <v>91</v>
      </c>
      <c r="D574" t="s">
        <v>18</v>
      </c>
      <c r="E574" t="str">
        <f>IF(Churn_part[[#This Row],[Type_Forfait]]="Pro Monde", "B2B", "B2C")</f>
        <v>B2C</v>
      </c>
      <c r="F574">
        <v>62</v>
      </c>
      <c r="G574" s="8">
        <v>34.450000000000003</v>
      </c>
      <c r="H574">
        <v>5</v>
      </c>
      <c r="I57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74" s="8">
        <f>Churn_part[[#This Row],[Facture_Mensuelle]]*Churn_part[[#This Row],[Remise Client]]</f>
        <v>0</v>
      </c>
    </row>
    <row r="575" spans="1:10" x14ac:dyDescent="0.3">
      <c r="A575" t="s">
        <v>611</v>
      </c>
      <c r="B575" t="s">
        <v>12</v>
      </c>
      <c r="C575">
        <v>103</v>
      </c>
      <c r="D575" t="s">
        <v>18</v>
      </c>
      <c r="E575" t="str">
        <f>IF(Churn_part[[#This Row],[Type_Forfait]]="Pro Monde", "B2B", "B2C")</f>
        <v>B2C</v>
      </c>
      <c r="F575">
        <v>98</v>
      </c>
      <c r="G575" s="8">
        <v>38.69</v>
      </c>
      <c r="H575">
        <v>4</v>
      </c>
      <c r="I57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75" s="8">
        <f>Churn_part[[#This Row],[Facture_Mensuelle]]*Churn_part[[#This Row],[Remise Client]]</f>
        <v>0</v>
      </c>
    </row>
    <row r="576" spans="1:10" x14ac:dyDescent="0.3">
      <c r="A576" t="s">
        <v>612</v>
      </c>
      <c r="B576" t="s">
        <v>66</v>
      </c>
      <c r="C576">
        <v>17</v>
      </c>
      <c r="D576" t="s">
        <v>21</v>
      </c>
      <c r="E576" t="str">
        <f>IF(Churn_part[[#This Row],[Type_Forfait]]="Pro Monde", "B2B", "B2C")</f>
        <v>B2C</v>
      </c>
      <c r="F576">
        <v>310</v>
      </c>
      <c r="G576" s="8">
        <v>19.68</v>
      </c>
      <c r="H576">
        <v>5</v>
      </c>
      <c r="I57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76" s="8">
        <f>Churn_part[[#This Row],[Facture_Mensuelle]]*Churn_part[[#This Row],[Remise Client]]</f>
        <v>8.8559999999999999</v>
      </c>
    </row>
    <row r="577" spans="1:10" x14ac:dyDescent="0.3">
      <c r="A577" t="s">
        <v>613</v>
      </c>
      <c r="B577" t="s">
        <v>34</v>
      </c>
      <c r="C577">
        <v>65</v>
      </c>
      <c r="D577" t="s">
        <v>10</v>
      </c>
      <c r="E577" t="str">
        <f>IF(Churn_part[[#This Row],[Type_Forfait]]="Pro Monde", "B2B", "B2C")</f>
        <v>B2C</v>
      </c>
      <c r="F577">
        <v>15</v>
      </c>
      <c r="G577" s="8">
        <v>44.47</v>
      </c>
      <c r="H577">
        <v>0</v>
      </c>
      <c r="I57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77" s="8">
        <f>Churn_part[[#This Row],[Facture_Mensuelle]]*Churn_part[[#This Row],[Remise Client]]</f>
        <v>0</v>
      </c>
    </row>
    <row r="578" spans="1:10" x14ac:dyDescent="0.3">
      <c r="A578" t="s">
        <v>614</v>
      </c>
      <c r="B578" t="s">
        <v>23</v>
      </c>
      <c r="C578">
        <v>16</v>
      </c>
      <c r="D578" t="s">
        <v>10</v>
      </c>
      <c r="E578" t="str">
        <f>IF(Churn_part[[#This Row],[Type_Forfait]]="Pro Monde", "B2B", "B2C")</f>
        <v>B2C</v>
      </c>
      <c r="F578">
        <v>274</v>
      </c>
      <c r="G578" s="8">
        <v>27.97</v>
      </c>
      <c r="H578">
        <v>4</v>
      </c>
      <c r="I57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78" s="8">
        <f>Churn_part[[#This Row],[Facture_Mensuelle]]*Churn_part[[#This Row],[Remise Client]]</f>
        <v>12.586499999999999</v>
      </c>
    </row>
    <row r="579" spans="1:10" x14ac:dyDescent="0.3">
      <c r="A579" t="s">
        <v>615</v>
      </c>
      <c r="B579" t="s">
        <v>9</v>
      </c>
      <c r="C579">
        <v>81</v>
      </c>
      <c r="D579" t="s">
        <v>21</v>
      </c>
      <c r="E579" t="str">
        <f>IF(Churn_part[[#This Row],[Type_Forfait]]="Pro Monde", "B2B", "B2C")</f>
        <v>B2C</v>
      </c>
      <c r="F579">
        <v>11</v>
      </c>
      <c r="G579" s="8">
        <v>41.76</v>
      </c>
      <c r="H579">
        <v>5</v>
      </c>
      <c r="I57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79" s="8">
        <f>Churn_part[[#This Row],[Facture_Mensuelle]]*Churn_part[[#This Row],[Remise Client]]</f>
        <v>0</v>
      </c>
    </row>
    <row r="580" spans="1:10" x14ac:dyDescent="0.3">
      <c r="A580" t="s">
        <v>616</v>
      </c>
      <c r="B580" t="s">
        <v>12</v>
      </c>
      <c r="C580">
        <v>74</v>
      </c>
      <c r="D580" t="s">
        <v>18</v>
      </c>
      <c r="E580" t="str">
        <f>IF(Churn_part[[#This Row],[Type_Forfait]]="Pro Monde", "B2B", "B2C")</f>
        <v>B2C</v>
      </c>
      <c r="F580">
        <v>265</v>
      </c>
      <c r="G580" s="8">
        <v>90.81</v>
      </c>
      <c r="H580">
        <v>3</v>
      </c>
      <c r="I58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80" s="8">
        <f>Churn_part[[#This Row],[Facture_Mensuelle]]*Churn_part[[#This Row],[Remise Client]]</f>
        <v>40.8645</v>
      </c>
    </row>
    <row r="581" spans="1:10" x14ac:dyDescent="0.3">
      <c r="A581" t="s">
        <v>617</v>
      </c>
      <c r="B581" t="s">
        <v>56</v>
      </c>
      <c r="C581">
        <v>101</v>
      </c>
      <c r="D581" t="s">
        <v>18</v>
      </c>
      <c r="E581" t="str">
        <f>IF(Churn_part[[#This Row],[Type_Forfait]]="Pro Monde", "B2B", "B2C")</f>
        <v>B2C</v>
      </c>
      <c r="F581">
        <v>262</v>
      </c>
      <c r="G581" s="8">
        <v>83.74</v>
      </c>
      <c r="H581">
        <v>5</v>
      </c>
      <c r="I58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81" s="8">
        <f>Churn_part[[#This Row],[Facture_Mensuelle]]*Churn_part[[#This Row],[Remise Client]]</f>
        <v>37.683</v>
      </c>
    </row>
    <row r="582" spans="1:10" x14ac:dyDescent="0.3">
      <c r="A582" t="s">
        <v>618</v>
      </c>
      <c r="B582" t="s">
        <v>63</v>
      </c>
      <c r="C582">
        <v>51</v>
      </c>
      <c r="D582" t="s">
        <v>13</v>
      </c>
      <c r="E582" t="str">
        <f>IF(Churn_part[[#This Row],[Type_Forfait]]="Pro Monde", "B2B", "B2C")</f>
        <v>B2B</v>
      </c>
      <c r="F582">
        <v>389</v>
      </c>
      <c r="G582" s="8">
        <v>50.45</v>
      </c>
      <c r="H582">
        <v>3</v>
      </c>
      <c r="I58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82" s="8">
        <f>Churn_part[[#This Row],[Facture_Mensuelle]]*Churn_part[[#This Row],[Remise Client]]</f>
        <v>5.0450000000000008</v>
      </c>
    </row>
    <row r="583" spans="1:10" x14ac:dyDescent="0.3">
      <c r="A583" t="s">
        <v>619</v>
      </c>
      <c r="B583" t="s">
        <v>9</v>
      </c>
      <c r="C583">
        <v>108</v>
      </c>
      <c r="D583" t="s">
        <v>10</v>
      </c>
      <c r="E583" t="str">
        <f>IF(Churn_part[[#This Row],[Type_Forfait]]="Pro Monde", "B2B", "B2C")</f>
        <v>B2C</v>
      </c>
      <c r="F583">
        <v>78</v>
      </c>
      <c r="G583" s="8">
        <v>90.05</v>
      </c>
      <c r="H583">
        <v>2</v>
      </c>
      <c r="I58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83" s="8">
        <f>Churn_part[[#This Row],[Facture_Mensuelle]]*Churn_part[[#This Row],[Remise Client]]</f>
        <v>0</v>
      </c>
    </row>
    <row r="584" spans="1:10" x14ac:dyDescent="0.3">
      <c r="A584" t="s">
        <v>620</v>
      </c>
      <c r="B584" t="s">
        <v>61</v>
      </c>
      <c r="C584">
        <v>98</v>
      </c>
      <c r="D584" t="s">
        <v>21</v>
      </c>
      <c r="E584" t="str">
        <f>IF(Churn_part[[#This Row],[Type_Forfait]]="Pro Monde", "B2B", "B2C")</f>
        <v>B2C</v>
      </c>
      <c r="F584">
        <v>110</v>
      </c>
      <c r="G584" s="8">
        <v>96.23</v>
      </c>
      <c r="H584">
        <v>2</v>
      </c>
      <c r="I58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84" s="8">
        <f>Churn_part[[#This Row],[Facture_Mensuelle]]*Churn_part[[#This Row],[Remise Client]]</f>
        <v>0</v>
      </c>
    </row>
    <row r="585" spans="1:10" x14ac:dyDescent="0.3">
      <c r="A585" t="s">
        <v>621</v>
      </c>
      <c r="B585" t="s">
        <v>63</v>
      </c>
      <c r="C585">
        <v>81</v>
      </c>
      <c r="D585" t="s">
        <v>13</v>
      </c>
      <c r="E585" t="str">
        <f>IF(Churn_part[[#This Row],[Type_Forfait]]="Pro Monde", "B2B", "B2C")</f>
        <v>B2B</v>
      </c>
      <c r="F585">
        <v>443</v>
      </c>
      <c r="G585" s="8">
        <v>32.78</v>
      </c>
      <c r="H585">
        <v>1</v>
      </c>
      <c r="I58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85" s="8">
        <f>Churn_part[[#This Row],[Facture_Mensuelle]]*Churn_part[[#This Row],[Remise Client]]</f>
        <v>3.2780000000000005</v>
      </c>
    </row>
    <row r="586" spans="1:10" x14ac:dyDescent="0.3">
      <c r="A586" t="s">
        <v>622</v>
      </c>
      <c r="B586" t="s">
        <v>63</v>
      </c>
      <c r="C586">
        <v>118</v>
      </c>
      <c r="D586" t="s">
        <v>18</v>
      </c>
      <c r="E586" t="str">
        <f>IF(Churn_part[[#This Row],[Type_Forfait]]="Pro Monde", "B2B", "B2C")</f>
        <v>B2C</v>
      </c>
      <c r="F586">
        <v>186</v>
      </c>
      <c r="G586" s="8">
        <v>46.88</v>
      </c>
      <c r="H586">
        <v>1</v>
      </c>
      <c r="I58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86" s="8">
        <f>Churn_part[[#This Row],[Facture_Mensuelle]]*Churn_part[[#This Row],[Remise Client]]</f>
        <v>0</v>
      </c>
    </row>
    <row r="587" spans="1:10" x14ac:dyDescent="0.3">
      <c r="A587" t="s">
        <v>623</v>
      </c>
      <c r="B587" t="s">
        <v>43</v>
      </c>
      <c r="C587">
        <v>34</v>
      </c>
      <c r="D587" t="s">
        <v>13</v>
      </c>
      <c r="E587" t="str">
        <f>IF(Churn_part[[#This Row],[Type_Forfait]]="Pro Monde", "B2B", "B2C")</f>
        <v>B2B</v>
      </c>
      <c r="F587">
        <v>58</v>
      </c>
      <c r="G587" s="8">
        <v>64.349999999999994</v>
      </c>
      <c r="H587">
        <v>0</v>
      </c>
      <c r="I58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87" s="8">
        <f>Churn_part[[#This Row],[Facture_Mensuelle]]*Churn_part[[#This Row],[Remise Client]]</f>
        <v>6.4349999999999996</v>
      </c>
    </row>
    <row r="588" spans="1:10" x14ac:dyDescent="0.3">
      <c r="A588" t="s">
        <v>624</v>
      </c>
      <c r="B588" t="s">
        <v>23</v>
      </c>
      <c r="C588">
        <v>108</v>
      </c>
      <c r="D588" t="s">
        <v>18</v>
      </c>
      <c r="E588" t="str">
        <f>IF(Churn_part[[#This Row],[Type_Forfait]]="Pro Monde", "B2B", "B2C")</f>
        <v>B2C</v>
      </c>
      <c r="F588">
        <v>460</v>
      </c>
      <c r="G588" s="8">
        <v>88.95</v>
      </c>
      <c r="H588">
        <v>3</v>
      </c>
      <c r="I58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88" s="8">
        <f>Churn_part[[#This Row],[Facture_Mensuelle]]*Churn_part[[#This Row],[Remise Client]]</f>
        <v>40.027500000000003</v>
      </c>
    </row>
    <row r="589" spans="1:10" x14ac:dyDescent="0.3">
      <c r="A589" t="s">
        <v>625</v>
      </c>
      <c r="B589" t="s">
        <v>20</v>
      </c>
      <c r="C589">
        <v>71</v>
      </c>
      <c r="D589" t="s">
        <v>13</v>
      </c>
      <c r="E589" t="str">
        <f>IF(Churn_part[[#This Row],[Type_Forfait]]="Pro Monde", "B2B", "B2C")</f>
        <v>B2B</v>
      </c>
      <c r="F589">
        <v>111</v>
      </c>
      <c r="G589" s="8">
        <v>95.53</v>
      </c>
      <c r="H589">
        <v>3</v>
      </c>
      <c r="I58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89" s="8">
        <f>Churn_part[[#This Row],[Facture_Mensuelle]]*Churn_part[[#This Row],[Remise Client]]</f>
        <v>9.5530000000000008</v>
      </c>
    </row>
    <row r="590" spans="1:10" x14ac:dyDescent="0.3">
      <c r="A590" t="s">
        <v>626</v>
      </c>
      <c r="B590" t="s">
        <v>72</v>
      </c>
      <c r="C590">
        <v>21</v>
      </c>
      <c r="D590" t="s">
        <v>18</v>
      </c>
      <c r="E590" t="str">
        <f>IF(Churn_part[[#This Row],[Type_Forfait]]="Pro Monde", "B2B", "B2C")</f>
        <v>B2C</v>
      </c>
      <c r="F590">
        <v>15</v>
      </c>
      <c r="G590" s="8">
        <v>57.74</v>
      </c>
      <c r="H590">
        <v>0</v>
      </c>
      <c r="I59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90" s="8">
        <f>Churn_part[[#This Row],[Facture_Mensuelle]]*Churn_part[[#This Row],[Remise Client]]</f>
        <v>0</v>
      </c>
    </row>
    <row r="591" spans="1:10" x14ac:dyDescent="0.3">
      <c r="A591" t="s">
        <v>627</v>
      </c>
      <c r="B591" t="s">
        <v>17</v>
      </c>
      <c r="C591">
        <v>42</v>
      </c>
      <c r="D591" t="s">
        <v>13</v>
      </c>
      <c r="E591" t="str">
        <f>IF(Churn_part[[#This Row],[Type_Forfait]]="Pro Monde", "B2B", "B2C")</f>
        <v>B2B</v>
      </c>
      <c r="F591">
        <v>167</v>
      </c>
      <c r="G591" s="8">
        <v>45.85</v>
      </c>
      <c r="H591">
        <v>2</v>
      </c>
      <c r="I59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91" s="8">
        <f>Churn_part[[#This Row],[Facture_Mensuelle]]*Churn_part[[#This Row],[Remise Client]]</f>
        <v>4.585</v>
      </c>
    </row>
    <row r="592" spans="1:10" x14ac:dyDescent="0.3">
      <c r="A592" t="s">
        <v>628</v>
      </c>
      <c r="B592" t="s">
        <v>30</v>
      </c>
      <c r="C592">
        <v>27</v>
      </c>
      <c r="D592" t="s">
        <v>18</v>
      </c>
      <c r="E592" t="str">
        <f>IF(Churn_part[[#This Row],[Type_Forfait]]="Pro Monde", "B2B", "B2C")</f>
        <v>B2C</v>
      </c>
      <c r="F592">
        <v>70</v>
      </c>
      <c r="G592" s="8">
        <v>20.32</v>
      </c>
      <c r="H592">
        <v>3</v>
      </c>
      <c r="I59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92" s="8">
        <f>Churn_part[[#This Row],[Facture_Mensuelle]]*Churn_part[[#This Row],[Remise Client]]</f>
        <v>0</v>
      </c>
    </row>
    <row r="593" spans="1:10" x14ac:dyDescent="0.3">
      <c r="A593" t="s">
        <v>629</v>
      </c>
      <c r="B593" t="s">
        <v>77</v>
      </c>
      <c r="C593">
        <v>12</v>
      </c>
      <c r="D593" t="s">
        <v>21</v>
      </c>
      <c r="E593" t="str">
        <f>IF(Churn_part[[#This Row],[Type_Forfait]]="Pro Monde", "B2B", "B2C")</f>
        <v>B2C</v>
      </c>
      <c r="F593">
        <v>112</v>
      </c>
      <c r="G593" s="8">
        <v>82.81</v>
      </c>
      <c r="H593">
        <v>0</v>
      </c>
      <c r="I59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93" s="8">
        <f>Churn_part[[#This Row],[Facture_Mensuelle]]*Churn_part[[#This Row],[Remise Client]]</f>
        <v>0</v>
      </c>
    </row>
    <row r="594" spans="1:10" x14ac:dyDescent="0.3">
      <c r="A594" t="s">
        <v>630</v>
      </c>
      <c r="B594" t="s">
        <v>77</v>
      </c>
      <c r="C594">
        <v>12</v>
      </c>
      <c r="D594" t="s">
        <v>13</v>
      </c>
      <c r="E594" t="str">
        <f>IF(Churn_part[[#This Row],[Type_Forfait]]="Pro Monde", "B2B", "B2C")</f>
        <v>B2B</v>
      </c>
      <c r="F594">
        <v>42</v>
      </c>
      <c r="G594" s="8">
        <v>48.64</v>
      </c>
      <c r="H594">
        <v>0</v>
      </c>
      <c r="I59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94" s="8">
        <f>Churn_part[[#This Row],[Facture_Mensuelle]]*Churn_part[[#This Row],[Remise Client]]</f>
        <v>4.8640000000000008</v>
      </c>
    </row>
    <row r="595" spans="1:10" x14ac:dyDescent="0.3">
      <c r="A595" t="s">
        <v>631</v>
      </c>
      <c r="B595" t="s">
        <v>28</v>
      </c>
      <c r="C595">
        <v>4</v>
      </c>
      <c r="D595" t="s">
        <v>13</v>
      </c>
      <c r="E595" t="str">
        <f>IF(Churn_part[[#This Row],[Type_Forfait]]="Pro Monde", "B2B", "B2C")</f>
        <v>B2B</v>
      </c>
      <c r="F595">
        <v>372</v>
      </c>
      <c r="G595" s="8">
        <v>26.73</v>
      </c>
      <c r="H595">
        <v>3</v>
      </c>
      <c r="I59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95" s="8">
        <f>Churn_part[[#This Row],[Facture_Mensuelle]]*Churn_part[[#This Row],[Remise Client]]</f>
        <v>2.673</v>
      </c>
    </row>
    <row r="596" spans="1:10" x14ac:dyDescent="0.3">
      <c r="A596" t="s">
        <v>632</v>
      </c>
      <c r="B596" t="s">
        <v>87</v>
      </c>
      <c r="C596">
        <v>56</v>
      </c>
      <c r="D596" t="s">
        <v>10</v>
      </c>
      <c r="E596" t="str">
        <f>IF(Churn_part[[#This Row],[Type_Forfait]]="Pro Monde", "B2B", "B2C")</f>
        <v>B2C</v>
      </c>
      <c r="F596">
        <v>354</v>
      </c>
      <c r="G596" s="8">
        <v>32.08</v>
      </c>
      <c r="H596">
        <v>1</v>
      </c>
      <c r="I59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596" s="8">
        <f>Churn_part[[#This Row],[Facture_Mensuelle]]*Churn_part[[#This Row],[Remise Client]]</f>
        <v>14.436</v>
      </c>
    </row>
    <row r="597" spans="1:10" x14ac:dyDescent="0.3">
      <c r="A597" t="s">
        <v>633</v>
      </c>
      <c r="B597" t="s">
        <v>9</v>
      </c>
      <c r="C597">
        <v>2</v>
      </c>
      <c r="D597" t="s">
        <v>13</v>
      </c>
      <c r="E597" t="str">
        <f>IF(Churn_part[[#This Row],[Type_Forfait]]="Pro Monde", "B2B", "B2C")</f>
        <v>B2B</v>
      </c>
      <c r="F597">
        <v>481</v>
      </c>
      <c r="G597" s="8">
        <v>29.37</v>
      </c>
      <c r="H597">
        <v>4</v>
      </c>
      <c r="I59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597" s="8">
        <f>Churn_part[[#This Row],[Facture_Mensuelle]]*Churn_part[[#This Row],[Remise Client]]</f>
        <v>2.9370000000000003</v>
      </c>
    </row>
    <row r="598" spans="1:10" x14ac:dyDescent="0.3">
      <c r="A598" t="s">
        <v>634</v>
      </c>
      <c r="B598" t="s">
        <v>56</v>
      </c>
      <c r="C598">
        <v>81</v>
      </c>
      <c r="D598" t="s">
        <v>21</v>
      </c>
      <c r="E598" t="str">
        <f>IF(Churn_part[[#This Row],[Type_Forfait]]="Pro Monde", "B2B", "B2C")</f>
        <v>B2C</v>
      </c>
      <c r="F598">
        <v>64</v>
      </c>
      <c r="G598" s="8">
        <v>43.45</v>
      </c>
      <c r="H598">
        <v>2</v>
      </c>
      <c r="I59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98" s="8">
        <f>Churn_part[[#This Row],[Facture_Mensuelle]]*Churn_part[[#This Row],[Remise Client]]</f>
        <v>0</v>
      </c>
    </row>
    <row r="599" spans="1:10" x14ac:dyDescent="0.3">
      <c r="A599" t="s">
        <v>635</v>
      </c>
      <c r="B599" t="s">
        <v>59</v>
      </c>
      <c r="C599">
        <v>99</v>
      </c>
      <c r="D599" t="s">
        <v>21</v>
      </c>
      <c r="E599" t="str">
        <f>IF(Churn_part[[#This Row],[Type_Forfait]]="Pro Monde", "B2B", "B2C")</f>
        <v>B2C</v>
      </c>
      <c r="F599">
        <v>137</v>
      </c>
      <c r="G599" s="8">
        <v>23.05</v>
      </c>
      <c r="H599">
        <v>4</v>
      </c>
      <c r="I59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599" s="8">
        <f>Churn_part[[#This Row],[Facture_Mensuelle]]*Churn_part[[#This Row],[Remise Client]]</f>
        <v>0</v>
      </c>
    </row>
    <row r="600" spans="1:10" x14ac:dyDescent="0.3">
      <c r="A600" t="s">
        <v>636</v>
      </c>
      <c r="B600" t="s">
        <v>34</v>
      </c>
      <c r="C600">
        <v>18</v>
      </c>
      <c r="D600" t="s">
        <v>13</v>
      </c>
      <c r="E600" t="str">
        <f>IF(Churn_part[[#This Row],[Type_Forfait]]="Pro Monde", "B2B", "B2C")</f>
        <v>B2B</v>
      </c>
      <c r="F600">
        <v>75</v>
      </c>
      <c r="G600" s="8">
        <v>57.66</v>
      </c>
      <c r="H600">
        <v>1</v>
      </c>
      <c r="I60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00" s="8">
        <f>Churn_part[[#This Row],[Facture_Mensuelle]]*Churn_part[[#This Row],[Remise Client]]</f>
        <v>5.766</v>
      </c>
    </row>
    <row r="601" spans="1:10" x14ac:dyDescent="0.3">
      <c r="A601" t="s">
        <v>637</v>
      </c>
      <c r="B601" t="s">
        <v>63</v>
      </c>
      <c r="C601">
        <v>14</v>
      </c>
      <c r="D601" t="s">
        <v>13</v>
      </c>
      <c r="E601" t="str">
        <f>IF(Churn_part[[#This Row],[Type_Forfait]]="Pro Monde", "B2B", "B2C")</f>
        <v>B2B</v>
      </c>
      <c r="F601">
        <v>236</v>
      </c>
      <c r="G601" s="8">
        <v>54.43</v>
      </c>
      <c r="H601">
        <v>3</v>
      </c>
      <c r="I60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01" s="8">
        <f>Churn_part[[#This Row],[Facture_Mensuelle]]*Churn_part[[#This Row],[Remise Client]]</f>
        <v>5.4430000000000005</v>
      </c>
    </row>
    <row r="602" spans="1:10" x14ac:dyDescent="0.3">
      <c r="A602" t="s">
        <v>638</v>
      </c>
      <c r="B602" t="s">
        <v>15</v>
      </c>
      <c r="C602">
        <v>42</v>
      </c>
      <c r="D602" t="s">
        <v>18</v>
      </c>
      <c r="E602" t="str">
        <f>IF(Churn_part[[#This Row],[Type_Forfait]]="Pro Monde", "B2B", "B2C")</f>
        <v>B2C</v>
      </c>
      <c r="F602">
        <v>448</v>
      </c>
      <c r="G602" s="8">
        <v>49.02</v>
      </c>
      <c r="H602">
        <v>0</v>
      </c>
      <c r="I60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02" s="8">
        <f>Churn_part[[#This Row],[Facture_Mensuelle]]*Churn_part[[#This Row],[Remise Client]]</f>
        <v>22.059000000000001</v>
      </c>
    </row>
    <row r="603" spans="1:10" x14ac:dyDescent="0.3">
      <c r="A603" t="s">
        <v>639</v>
      </c>
      <c r="B603" t="s">
        <v>23</v>
      </c>
      <c r="C603">
        <v>111</v>
      </c>
      <c r="D603" t="s">
        <v>21</v>
      </c>
      <c r="E603" t="str">
        <f>IF(Churn_part[[#This Row],[Type_Forfait]]="Pro Monde", "B2B", "B2C")</f>
        <v>B2C</v>
      </c>
      <c r="F603">
        <v>54</v>
      </c>
      <c r="G603" s="8">
        <v>71.3</v>
      </c>
      <c r="H603">
        <v>0</v>
      </c>
      <c r="I60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03" s="8">
        <f>Churn_part[[#This Row],[Facture_Mensuelle]]*Churn_part[[#This Row],[Remise Client]]</f>
        <v>0</v>
      </c>
    </row>
    <row r="604" spans="1:10" x14ac:dyDescent="0.3">
      <c r="A604" t="s">
        <v>640</v>
      </c>
      <c r="B604" t="s">
        <v>87</v>
      </c>
      <c r="C604">
        <v>89</v>
      </c>
      <c r="D604" t="s">
        <v>13</v>
      </c>
      <c r="E604" t="str">
        <f>IF(Churn_part[[#This Row],[Type_Forfait]]="Pro Monde", "B2B", "B2C")</f>
        <v>B2B</v>
      </c>
      <c r="F604">
        <v>381</v>
      </c>
      <c r="G604" s="8">
        <v>68.17</v>
      </c>
      <c r="H604">
        <v>0</v>
      </c>
      <c r="I60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04" s="8">
        <f>Churn_part[[#This Row],[Facture_Mensuelle]]*Churn_part[[#This Row],[Remise Client]]</f>
        <v>6.8170000000000002</v>
      </c>
    </row>
    <row r="605" spans="1:10" x14ac:dyDescent="0.3">
      <c r="A605" t="s">
        <v>641</v>
      </c>
      <c r="B605" t="s">
        <v>63</v>
      </c>
      <c r="C605">
        <v>93</v>
      </c>
      <c r="D605" t="s">
        <v>13</v>
      </c>
      <c r="E605" t="str">
        <f>IF(Churn_part[[#This Row],[Type_Forfait]]="Pro Monde", "B2B", "B2C")</f>
        <v>B2B</v>
      </c>
      <c r="F605">
        <v>56</v>
      </c>
      <c r="G605" s="8">
        <v>96.31</v>
      </c>
      <c r="H605">
        <v>4</v>
      </c>
      <c r="I60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05" s="8">
        <f>Churn_part[[#This Row],[Facture_Mensuelle]]*Churn_part[[#This Row],[Remise Client]]</f>
        <v>9.6310000000000002</v>
      </c>
    </row>
    <row r="606" spans="1:10" x14ac:dyDescent="0.3">
      <c r="A606" t="s">
        <v>642</v>
      </c>
      <c r="B606" t="s">
        <v>125</v>
      </c>
      <c r="C606">
        <v>56</v>
      </c>
      <c r="D606" t="s">
        <v>10</v>
      </c>
      <c r="E606" t="str">
        <f>IF(Churn_part[[#This Row],[Type_Forfait]]="Pro Monde", "B2B", "B2C")</f>
        <v>B2C</v>
      </c>
      <c r="F606">
        <v>123</v>
      </c>
      <c r="G606" s="8">
        <v>29.76</v>
      </c>
      <c r="H606">
        <v>5</v>
      </c>
      <c r="I60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06" s="8">
        <f>Churn_part[[#This Row],[Facture_Mensuelle]]*Churn_part[[#This Row],[Remise Client]]</f>
        <v>0</v>
      </c>
    </row>
    <row r="607" spans="1:10" x14ac:dyDescent="0.3">
      <c r="A607" t="s">
        <v>643</v>
      </c>
      <c r="B607" t="s">
        <v>34</v>
      </c>
      <c r="C607">
        <v>29</v>
      </c>
      <c r="D607" t="s">
        <v>10</v>
      </c>
      <c r="E607" t="str">
        <f>IF(Churn_part[[#This Row],[Type_Forfait]]="Pro Monde", "B2B", "B2C")</f>
        <v>B2C</v>
      </c>
      <c r="F607">
        <v>8</v>
      </c>
      <c r="G607" s="8">
        <v>14.78</v>
      </c>
      <c r="H607">
        <v>2</v>
      </c>
      <c r="I60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07" s="8">
        <f>Churn_part[[#This Row],[Facture_Mensuelle]]*Churn_part[[#This Row],[Remise Client]]</f>
        <v>0</v>
      </c>
    </row>
    <row r="608" spans="1:10" x14ac:dyDescent="0.3">
      <c r="A608" t="s">
        <v>644</v>
      </c>
      <c r="B608" t="s">
        <v>43</v>
      </c>
      <c r="C608">
        <v>22</v>
      </c>
      <c r="D608" t="s">
        <v>13</v>
      </c>
      <c r="E608" t="str">
        <f>IF(Churn_part[[#This Row],[Type_Forfait]]="Pro Monde", "B2B", "B2C")</f>
        <v>B2B</v>
      </c>
      <c r="F608">
        <v>457</v>
      </c>
      <c r="G608" s="8">
        <v>13.21</v>
      </c>
      <c r="H608">
        <v>1</v>
      </c>
      <c r="I60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08" s="8">
        <f>Churn_part[[#This Row],[Facture_Mensuelle]]*Churn_part[[#This Row],[Remise Client]]</f>
        <v>1.3210000000000002</v>
      </c>
    </row>
    <row r="609" spans="1:10" x14ac:dyDescent="0.3">
      <c r="A609" t="s">
        <v>645</v>
      </c>
      <c r="B609" t="s">
        <v>129</v>
      </c>
      <c r="C609">
        <v>12</v>
      </c>
      <c r="D609" t="s">
        <v>21</v>
      </c>
      <c r="E609" t="str">
        <f>IF(Churn_part[[#This Row],[Type_Forfait]]="Pro Monde", "B2B", "B2C")</f>
        <v>B2C</v>
      </c>
      <c r="F609">
        <v>235</v>
      </c>
      <c r="G609" s="8">
        <v>33.96</v>
      </c>
      <c r="H609">
        <v>4</v>
      </c>
      <c r="I60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09" s="8">
        <f>Churn_part[[#This Row],[Facture_Mensuelle]]*Churn_part[[#This Row],[Remise Client]]</f>
        <v>0</v>
      </c>
    </row>
    <row r="610" spans="1:10" x14ac:dyDescent="0.3">
      <c r="A610" t="s">
        <v>646</v>
      </c>
      <c r="B610" t="s">
        <v>61</v>
      </c>
      <c r="C610">
        <v>25</v>
      </c>
      <c r="D610" t="s">
        <v>18</v>
      </c>
      <c r="E610" t="str">
        <f>IF(Churn_part[[#This Row],[Type_Forfait]]="Pro Monde", "B2B", "B2C")</f>
        <v>B2C</v>
      </c>
      <c r="F610">
        <v>95</v>
      </c>
      <c r="G610" s="8">
        <v>15.93</v>
      </c>
      <c r="H610">
        <v>4</v>
      </c>
      <c r="I61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10" s="8">
        <f>Churn_part[[#This Row],[Facture_Mensuelle]]*Churn_part[[#This Row],[Remise Client]]</f>
        <v>0</v>
      </c>
    </row>
    <row r="611" spans="1:10" x14ac:dyDescent="0.3">
      <c r="A611" t="s">
        <v>647</v>
      </c>
      <c r="B611" t="s">
        <v>59</v>
      </c>
      <c r="C611">
        <v>93</v>
      </c>
      <c r="D611" t="s">
        <v>10</v>
      </c>
      <c r="E611" t="str">
        <f>IF(Churn_part[[#This Row],[Type_Forfait]]="Pro Monde", "B2B", "B2C")</f>
        <v>B2C</v>
      </c>
      <c r="F611">
        <v>136</v>
      </c>
      <c r="G611" s="8">
        <v>19.09</v>
      </c>
      <c r="H611">
        <v>1</v>
      </c>
      <c r="I61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11" s="8">
        <f>Churn_part[[#This Row],[Facture_Mensuelle]]*Churn_part[[#This Row],[Remise Client]]</f>
        <v>0</v>
      </c>
    </row>
    <row r="612" spans="1:10" x14ac:dyDescent="0.3">
      <c r="A612" t="s">
        <v>648</v>
      </c>
      <c r="B612" t="s">
        <v>72</v>
      </c>
      <c r="C612">
        <v>116</v>
      </c>
      <c r="D612" t="s">
        <v>10</v>
      </c>
      <c r="E612" t="str">
        <f>IF(Churn_part[[#This Row],[Type_Forfait]]="Pro Monde", "B2B", "B2C")</f>
        <v>B2C</v>
      </c>
      <c r="F612">
        <v>14</v>
      </c>
      <c r="G612" s="8">
        <v>30.38</v>
      </c>
      <c r="H612">
        <v>1</v>
      </c>
      <c r="I61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12" s="8">
        <f>Churn_part[[#This Row],[Facture_Mensuelle]]*Churn_part[[#This Row],[Remise Client]]</f>
        <v>0</v>
      </c>
    </row>
    <row r="613" spans="1:10" x14ac:dyDescent="0.3">
      <c r="A613" t="s">
        <v>649</v>
      </c>
      <c r="B613" t="s">
        <v>61</v>
      </c>
      <c r="C613">
        <v>104</v>
      </c>
      <c r="D613" t="s">
        <v>18</v>
      </c>
      <c r="E613" t="str">
        <f>IF(Churn_part[[#This Row],[Type_Forfait]]="Pro Monde", "B2B", "B2C")</f>
        <v>B2C</v>
      </c>
      <c r="F613">
        <v>243</v>
      </c>
      <c r="G613" s="8">
        <v>65.819999999999993</v>
      </c>
      <c r="H613">
        <v>0</v>
      </c>
      <c r="I61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13" s="8">
        <f>Churn_part[[#This Row],[Facture_Mensuelle]]*Churn_part[[#This Row],[Remise Client]]</f>
        <v>29.618999999999996</v>
      </c>
    </row>
    <row r="614" spans="1:10" x14ac:dyDescent="0.3">
      <c r="A614" t="s">
        <v>650</v>
      </c>
      <c r="B614" t="s">
        <v>77</v>
      </c>
      <c r="C614">
        <v>48</v>
      </c>
      <c r="D614" t="s">
        <v>10</v>
      </c>
      <c r="E614" t="str">
        <f>IF(Churn_part[[#This Row],[Type_Forfait]]="Pro Monde", "B2B", "B2C")</f>
        <v>B2C</v>
      </c>
      <c r="F614">
        <v>338</v>
      </c>
      <c r="G614" s="8">
        <v>74.42</v>
      </c>
      <c r="H614">
        <v>0</v>
      </c>
      <c r="I61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14" s="8">
        <f>Churn_part[[#This Row],[Facture_Mensuelle]]*Churn_part[[#This Row],[Remise Client]]</f>
        <v>33.489000000000004</v>
      </c>
    </row>
    <row r="615" spans="1:10" x14ac:dyDescent="0.3">
      <c r="A615" t="s">
        <v>651</v>
      </c>
      <c r="B615" t="s">
        <v>15</v>
      </c>
      <c r="C615">
        <v>105</v>
      </c>
      <c r="D615" t="s">
        <v>21</v>
      </c>
      <c r="E615" t="str">
        <f>IF(Churn_part[[#This Row],[Type_Forfait]]="Pro Monde", "B2B", "B2C")</f>
        <v>B2C</v>
      </c>
      <c r="F615">
        <v>271</v>
      </c>
      <c r="G615" s="8">
        <v>45.27</v>
      </c>
      <c r="H615">
        <v>2</v>
      </c>
      <c r="I61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15" s="8">
        <f>Churn_part[[#This Row],[Facture_Mensuelle]]*Churn_part[[#This Row],[Remise Client]]</f>
        <v>20.371500000000001</v>
      </c>
    </row>
    <row r="616" spans="1:10" x14ac:dyDescent="0.3">
      <c r="A616" t="s">
        <v>652</v>
      </c>
      <c r="B616" t="s">
        <v>63</v>
      </c>
      <c r="C616">
        <v>116</v>
      </c>
      <c r="D616" t="s">
        <v>21</v>
      </c>
      <c r="E616" t="str">
        <f>IF(Churn_part[[#This Row],[Type_Forfait]]="Pro Monde", "B2B", "B2C")</f>
        <v>B2C</v>
      </c>
      <c r="F616">
        <v>231</v>
      </c>
      <c r="G616" s="8">
        <v>19.12</v>
      </c>
      <c r="H616">
        <v>5</v>
      </c>
      <c r="I61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16" s="8">
        <f>Churn_part[[#This Row],[Facture_Mensuelle]]*Churn_part[[#This Row],[Remise Client]]</f>
        <v>0</v>
      </c>
    </row>
    <row r="617" spans="1:10" x14ac:dyDescent="0.3">
      <c r="A617" t="s">
        <v>653</v>
      </c>
      <c r="B617" t="s">
        <v>39</v>
      </c>
      <c r="C617">
        <v>69</v>
      </c>
      <c r="D617" t="s">
        <v>18</v>
      </c>
      <c r="E617" t="str">
        <f>IF(Churn_part[[#This Row],[Type_Forfait]]="Pro Monde", "B2B", "B2C")</f>
        <v>B2C</v>
      </c>
      <c r="F617">
        <v>180</v>
      </c>
      <c r="G617" s="8">
        <v>76.05</v>
      </c>
      <c r="H617">
        <v>2</v>
      </c>
      <c r="I61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17" s="8">
        <f>Churn_part[[#This Row],[Facture_Mensuelle]]*Churn_part[[#This Row],[Remise Client]]</f>
        <v>0</v>
      </c>
    </row>
    <row r="618" spans="1:10" x14ac:dyDescent="0.3">
      <c r="A618" t="s">
        <v>654</v>
      </c>
      <c r="B618" t="s">
        <v>25</v>
      </c>
      <c r="C618">
        <v>1</v>
      </c>
      <c r="D618" t="s">
        <v>18</v>
      </c>
      <c r="E618" t="str">
        <f>IF(Churn_part[[#This Row],[Type_Forfait]]="Pro Monde", "B2B", "B2C")</f>
        <v>B2C</v>
      </c>
      <c r="F618">
        <v>135</v>
      </c>
      <c r="G618" s="8">
        <v>89.16</v>
      </c>
      <c r="H618">
        <v>3</v>
      </c>
      <c r="I61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18" s="8">
        <f>Churn_part[[#This Row],[Facture_Mensuelle]]*Churn_part[[#This Row],[Remise Client]]</f>
        <v>0</v>
      </c>
    </row>
    <row r="619" spans="1:10" x14ac:dyDescent="0.3">
      <c r="A619" t="s">
        <v>655</v>
      </c>
      <c r="B619" t="s">
        <v>50</v>
      </c>
      <c r="C619">
        <v>120</v>
      </c>
      <c r="D619" t="s">
        <v>13</v>
      </c>
      <c r="E619" t="str">
        <f>IF(Churn_part[[#This Row],[Type_Forfait]]="Pro Monde", "B2B", "B2C")</f>
        <v>B2B</v>
      </c>
      <c r="F619">
        <v>60</v>
      </c>
      <c r="G619" s="8">
        <v>34.14</v>
      </c>
      <c r="H619">
        <v>3</v>
      </c>
      <c r="I61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19" s="8">
        <f>Churn_part[[#This Row],[Facture_Mensuelle]]*Churn_part[[#This Row],[Remise Client]]</f>
        <v>3.4140000000000001</v>
      </c>
    </row>
    <row r="620" spans="1:10" x14ac:dyDescent="0.3">
      <c r="A620" t="s">
        <v>656</v>
      </c>
      <c r="B620" t="s">
        <v>23</v>
      </c>
      <c r="C620">
        <v>89</v>
      </c>
      <c r="D620" t="s">
        <v>18</v>
      </c>
      <c r="E620" t="str">
        <f>IF(Churn_part[[#This Row],[Type_Forfait]]="Pro Monde", "B2B", "B2C")</f>
        <v>B2C</v>
      </c>
      <c r="F620">
        <v>474</v>
      </c>
      <c r="G620" s="8">
        <v>28.51</v>
      </c>
      <c r="H620">
        <v>5</v>
      </c>
      <c r="I62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20" s="8">
        <f>Churn_part[[#This Row],[Facture_Mensuelle]]*Churn_part[[#This Row],[Remise Client]]</f>
        <v>12.829500000000001</v>
      </c>
    </row>
    <row r="621" spans="1:10" x14ac:dyDescent="0.3">
      <c r="A621" t="s">
        <v>657</v>
      </c>
      <c r="B621" t="s">
        <v>9</v>
      </c>
      <c r="C621">
        <v>112</v>
      </c>
      <c r="D621" t="s">
        <v>21</v>
      </c>
      <c r="E621" t="str">
        <f>IF(Churn_part[[#This Row],[Type_Forfait]]="Pro Monde", "B2B", "B2C")</f>
        <v>B2C</v>
      </c>
      <c r="F621">
        <v>281</v>
      </c>
      <c r="G621" s="8">
        <v>80.72</v>
      </c>
      <c r="H621">
        <v>2</v>
      </c>
      <c r="I62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21" s="8">
        <f>Churn_part[[#This Row],[Facture_Mensuelle]]*Churn_part[[#This Row],[Remise Client]]</f>
        <v>36.323999999999998</v>
      </c>
    </row>
    <row r="622" spans="1:10" x14ac:dyDescent="0.3">
      <c r="A622" t="s">
        <v>658</v>
      </c>
      <c r="B622" t="s">
        <v>17</v>
      </c>
      <c r="C622">
        <v>7</v>
      </c>
      <c r="D622" t="s">
        <v>18</v>
      </c>
      <c r="E622" t="str">
        <f>IF(Churn_part[[#This Row],[Type_Forfait]]="Pro Monde", "B2B", "B2C")</f>
        <v>B2C</v>
      </c>
      <c r="F622">
        <v>43</v>
      </c>
      <c r="G622" s="8">
        <v>41.29</v>
      </c>
      <c r="H622">
        <v>4</v>
      </c>
      <c r="I62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22" s="8">
        <f>Churn_part[[#This Row],[Facture_Mensuelle]]*Churn_part[[#This Row],[Remise Client]]</f>
        <v>0</v>
      </c>
    </row>
    <row r="623" spans="1:10" x14ac:dyDescent="0.3">
      <c r="A623" t="s">
        <v>659</v>
      </c>
      <c r="B623" t="s">
        <v>34</v>
      </c>
      <c r="C623">
        <v>34</v>
      </c>
      <c r="D623" t="s">
        <v>21</v>
      </c>
      <c r="E623" t="str">
        <f>IF(Churn_part[[#This Row],[Type_Forfait]]="Pro Monde", "B2B", "B2C")</f>
        <v>B2C</v>
      </c>
      <c r="F623">
        <v>181</v>
      </c>
      <c r="G623" s="8">
        <v>35.92</v>
      </c>
      <c r="H623">
        <v>2</v>
      </c>
      <c r="I62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23" s="8">
        <f>Churn_part[[#This Row],[Facture_Mensuelle]]*Churn_part[[#This Row],[Remise Client]]</f>
        <v>0</v>
      </c>
    </row>
    <row r="624" spans="1:10" x14ac:dyDescent="0.3">
      <c r="A624" t="s">
        <v>660</v>
      </c>
      <c r="B624" t="s">
        <v>66</v>
      </c>
      <c r="C624">
        <v>114</v>
      </c>
      <c r="D624" t="s">
        <v>13</v>
      </c>
      <c r="E624" t="str">
        <f>IF(Churn_part[[#This Row],[Type_Forfait]]="Pro Monde", "B2B", "B2C")</f>
        <v>B2B</v>
      </c>
      <c r="F624">
        <v>220</v>
      </c>
      <c r="G624" s="8">
        <v>63.67</v>
      </c>
      <c r="H624">
        <v>5</v>
      </c>
      <c r="I62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24" s="8">
        <f>Churn_part[[#This Row],[Facture_Mensuelle]]*Churn_part[[#This Row],[Remise Client]]</f>
        <v>6.3670000000000009</v>
      </c>
    </row>
    <row r="625" spans="1:10" x14ac:dyDescent="0.3">
      <c r="A625" t="s">
        <v>661</v>
      </c>
      <c r="B625" t="s">
        <v>77</v>
      </c>
      <c r="C625">
        <v>101</v>
      </c>
      <c r="D625" t="s">
        <v>13</v>
      </c>
      <c r="E625" t="str">
        <f>IF(Churn_part[[#This Row],[Type_Forfait]]="Pro Monde", "B2B", "B2C")</f>
        <v>B2B</v>
      </c>
      <c r="F625">
        <v>108</v>
      </c>
      <c r="G625" s="8">
        <v>76.05</v>
      </c>
      <c r="H625">
        <v>3</v>
      </c>
      <c r="I62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25" s="8">
        <f>Churn_part[[#This Row],[Facture_Mensuelle]]*Churn_part[[#This Row],[Remise Client]]</f>
        <v>7.6050000000000004</v>
      </c>
    </row>
    <row r="626" spans="1:10" x14ac:dyDescent="0.3">
      <c r="A626" t="s">
        <v>662</v>
      </c>
      <c r="B626" t="s">
        <v>135</v>
      </c>
      <c r="C626">
        <v>6</v>
      </c>
      <c r="D626" t="s">
        <v>21</v>
      </c>
      <c r="E626" t="str">
        <f>IF(Churn_part[[#This Row],[Type_Forfait]]="Pro Monde", "B2B", "B2C")</f>
        <v>B2C</v>
      </c>
      <c r="F626">
        <v>77</v>
      </c>
      <c r="G626" s="8">
        <v>18.48</v>
      </c>
      <c r="H626">
        <v>2</v>
      </c>
      <c r="I62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26" s="8">
        <f>Churn_part[[#This Row],[Facture_Mensuelle]]*Churn_part[[#This Row],[Remise Client]]</f>
        <v>0</v>
      </c>
    </row>
    <row r="627" spans="1:10" x14ac:dyDescent="0.3">
      <c r="A627" t="s">
        <v>663</v>
      </c>
      <c r="B627" t="s">
        <v>20</v>
      </c>
      <c r="C627">
        <v>15</v>
      </c>
      <c r="D627" t="s">
        <v>13</v>
      </c>
      <c r="E627" t="str">
        <f>IF(Churn_part[[#This Row],[Type_Forfait]]="Pro Monde", "B2B", "B2C")</f>
        <v>B2B</v>
      </c>
      <c r="F627">
        <v>203</v>
      </c>
      <c r="G627" s="8">
        <v>55.29</v>
      </c>
      <c r="H627">
        <v>2</v>
      </c>
      <c r="I62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27" s="8">
        <f>Churn_part[[#This Row],[Facture_Mensuelle]]*Churn_part[[#This Row],[Remise Client]]</f>
        <v>5.5289999999999999</v>
      </c>
    </row>
    <row r="628" spans="1:10" x14ac:dyDescent="0.3">
      <c r="A628" t="s">
        <v>664</v>
      </c>
      <c r="B628" t="s">
        <v>129</v>
      </c>
      <c r="C628">
        <v>7</v>
      </c>
      <c r="D628" t="s">
        <v>18</v>
      </c>
      <c r="E628" t="str">
        <f>IF(Churn_part[[#This Row],[Type_Forfait]]="Pro Monde", "B2B", "B2C")</f>
        <v>B2C</v>
      </c>
      <c r="F628">
        <v>257</v>
      </c>
      <c r="G628" s="8">
        <v>73.040000000000006</v>
      </c>
      <c r="H628">
        <v>3</v>
      </c>
      <c r="I62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28" s="8">
        <f>Churn_part[[#This Row],[Facture_Mensuelle]]*Churn_part[[#This Row],[Remise Client]]</f>
        <v>32.868000000000002</v>
      </c>
    </row>
    <row r="629" spans="1:10" x14ac:dyDescent="0.3">
      <c r="A629" t="s">
        <v>665</v>
      </c>
      <c r="B629" t="s">
        <v>39</v>
      </c>
      <c r="C629">
        <v>39</v>
      </c>
      <c r="D629" t="s">
        <v>10</v>
      </c>
      <c r="E629" t="str">
        <f>IF(Churn_part[[#This Row],[Type_Forfait]]="Pro Monde", "B2B", "B2C")</f>
        <v>B2C</v>
      </c>
      <c r="F629">
        <v>220</v>
      </c>
      <c r="G629" s="8">
        <v>52.91</v>
      </c>
      <c r="H629">
        <v>0</v>
      </c>
      <c r="I62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29" s="8">
        <f>Churn_part[[#This Row],[Facture_Mensuelle]]*Churn_part[[#This Row],[Remise Client]]</f>
        <v>0</v>
      </c>
    </row>
    <row r="630" spans="1:10" x14ac:dyDescent="0.3">
      <c r="A630" t="s">
        <v>666</v>
      </c>
      <c r="B630" t="s">
        <v>59</v>
      </c>
      <c r="C630">
        <v>10</v>
      </c>
      <c r="D630" t="s">
        <v>21</v>
      </c>
      <c r="E630" t="str">
        <f>IF(Churn_part[[#This Row],[Type_Forfait]]="Pro Monde", "B2B", "B2C")</f>
        <v>B2C</v>
      </c>
      <c r="F630">
        <v>260</v>
      </c>
      <c r="G630" s="8">
        <v>37.479999999999997</v>
      </c>
      <c r="H630">
        <v>2</v>
      </c>
      <c r="I63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30" s="8">
        <f>Churn_part[[#This Row],[Facture_Mensuelle]]*Churn_part[[#This Row],[Remise Client]]</f>
        <v>16.866</v>
      </c>
    </row>
    <row r="631" spans="1:10" x14ac:dyDescent="0.3">
      <c r="A631" t="s">
        <v>667</v>
      </c>
      <c r="B631" t="s">
        <v>135</v>
      </c>
      <c r="C631">
        <v>34</v>
      </c>
      <c r="D631" t="s">
        <v>10</v>
      </c>
      <c r="E631" t="str">
        <f>IF(Churn_part[[#This Row],[Type_Forfait]]="Pro Monde", "B2B", "B2C")</f>
        <v>B2C</v>
      </c>
      <c r="F631">
        <v>170</v>
      </c>
      <c r="G631" s="8">
        <v>91.6</v>
      </c>
      <c r="H631">
        <v>2</v>
      </c>
      <c r="I63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31" s="8">
        <f>Churn_part[[#This Row],[Facture_Mensuelle]]*Churn_part[[#This Row],[Remise Client]]</f>
        <v>0</v>
      </c>
    </row>
    <row r="632" spans="1:10" x14ac:dyDescent="0.3">
      <c r="A632" t="s">
        <v>668</v>
      </c>
      <c r="B632" t="s">
        <v>77</v>
      </c>
      <c r="C632">
        <v>43</v>
      </c>
      <c r="D632" t="s">
        <v>10</v>
      </c>
      <c r="E632" t="str">
        <f>IF(Churn_part[[#This Row],[Type_Forfait]]="Pro Monde", "B2B", "B2C")</f>
        <v>B2C</v>
      </c>
      <c r="F632">
        <v>27</v>
      </c>
      <c r="G632" s="8">
        <v>31.48</v>
      </c>
      <c r="H632">
        <v>5</v>
      </c>
      <c r="I63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32" s="8">
        <f>Churn_part[[#This Row],[Facture_Mensuelle]]*Churn_part[[#This Row],[Remise Client]]</f>
        <v>0</v>
      </c>
    </row>
    <row r="633" spans="1:10" x14ac:dyDescent="0.3">
      <c r="A633" t="s">
        <v>669</v>
      </c>
      <c r="B633" t="s">
        <v>25</v>
      </c>
      <c r="C633">
        <v>89</v>
      </c>
      <c r="D633" t="s">
        <v>13</v>
      </c>
      <c r="E633" t="str">
        <f>IF(Churn_part[[#This Row],[Type_Forfait]]="Pro Monde", "B2B", "B2C")</f>
        <v>B2B</v>
      </c>
      <c r="F633">
        <v>225</v>
      </c>
      <c r="G633" s="8">
        <v>38.36</v>
      </c>
      <c r="H633">
        <v>2</v>
      </c>
      <c r="I63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33" s="8">
        <f>Churn_part[[#This Row],[Facture_Mensuelle]]*Churn_part[[#This Row],[Remise Client]]</f>
        <v>3.8360000000000003</v>
      </c>
    </row>
    <row r="634" spans="1:10" x14ac:dyDescent="0.3">
      <c r="A634" t="s">
        <v>670</v>
      </c>
      <c r="B634" t="s">
        <v>30</v>
      </c>
      <c r="C634">
        <v>79</v>
      </c>
      <c r="D634" t="s">
        <v>21</v>
      </c>
      <c r="E634" t="str">
        <f>IF(Churn_part[[#This Row],[Type_Forfait]]="Pro Monde", "B2B", "B2C")</f>
        <v>B2C</v>
      </c>
      <c r="F634">
        <v>139</v>
      </c>
      <c r="G634" s="8">
        <v>16.25</v>
      </c>
      <c r="H634">
        <v>4</v>
      </c>
      <c r="I63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34" s="8">
        <f>Churn_part[[#This Row],[Facture_Mensuelle]]*Churn_part[[#This Row],[Remise Client]]</f>
        <v>0</v>
      </c>
    </row>
    <row r="635" spans="1:10" x14ac:dyDescent="0.3">
      <c r="A635" t="s">
        <v>671</v>
      </c>
      <c r="B635" t="s">
        <v>61</v>
      </c>
      <c r="C635">
        <v>102</v>
      </c>
      <c r="D635" t="s">
        <v>18</v>
      </c>
      <c r="E635" t="str">
        <f>IF(Churn_part[[#This Row],[Type_Forfait]]="Pro Monde", "B2B", "B2C")</f>
        <v>B2C</v>
      </c>
      <c r="F635">
        <v>189</v>
      </c>
      <c r="G635" s="8">
        <v>26.86</v>
      </c>
      <c r="H635">
        <v>5</v>
      </c>
      <c r="I63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35" s="8">
        <f>Churn_part[[#This Row],[Facture_Mensuelle]]*Churn_part[[#This Row],[Remise Client]]</f>
        <v>0</v>
      </c>
    </row>
    <row r="636" spans="1:10" x14ac:dyDescent="0.3">
      <c r="A636" t="s">
        <v>672</v>
      </c>
      <c r="B636" t="s">
        <v>129</v>
      </c>
      <c r="C636">
        <v>104</v>
      </c>
      <c r="D636" t="s">
        <v>21</v>
      </c>
      <c r="E636" t="str">
        <f>IF(Churn_part[[#This Row],[Type_Forfait]]="Pro Monde", "B2B", "B2C")</f>
        <v>B2C</v>
      </c>
      <c r="F636">
        <v>50</v>
      </c>
      <c r="G636" s="8">
        <v>90.99</v>
      </c>
      <c r="H636">
        <v>4</v>
      </c>
      <c r="I63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36" s="8">
        <f>Churn_part[[#This Row],[Facture_Mensuelle]]*Churn_part[[#This Row],[Remise Client]]</f>
        <v>0</v>
      </c>
    </row>
    <row r="637" spans="1:10" x14ac:dyDescent="0.3">
      <c r="A637" t="s">
        <v>673</v>
      </c>
      <c r="B637" t="s">
        <v>34</v>
      </c>
      <c r="C637">
        <v>49</v>
      </c>
      <c r="D637" t="s">
        <v>21</v>
      </c>
      <c r="E637" t="str">
        <f>IF(Churn_part[[#This Row],[Type_Forfait]]="Pro Monde", "B2B", "B2C")</f>
        <v>B2C</v>
      </c>
      <c r="F637">
        <v>25</v>
      </c>
      <c r="G637" s="8">
        <v>22.77</v>
      </c>
      <c r="H637">
        <v>3</v>
      </c>
      <c r="I63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37" s="8">
        <f>Churn_part[[#This Row],[Facture_Mensuelle]]*Churn_part[[#This Row],[Remise Client]]</f>
        <v>0</v>
      </c>
    </row>
    <row r="638" spans="1:10" x14ac:dyDescent="0.3">
      <c r="A638" t="s">
        <v>674</v>
      </c>
      <c r="B638" t="s">
        <v>36</v>
      </c>
      <c r="C638">
        <v>35</v>
      </c>
      <c r="D638" t="s">
        <v>10</v>
      </c>
      <c r="E638" t="str">
        <f>IF(Churn_part[[#This Row],[Type_Forfait]]="Pro Monde", "B2B", "B2C")</f>
        <v>B2C</v>
      </c>
      <c r="F638">
        <v>332</v>
      </c>
      <c r="G638" s="8">
        <v>11.15</v>
      </c>
      <c r="H638">
        <v>0</v>
      </c>
      <c r="I63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38" s="8">
        <f>Churn_part[[#This Row],[Facture_Mensuelle]]*Churn_part[[#This Row],[Remise Client]]</f>
        <v>5.0175000000000001</v>
      </c>
    </row>
    <row r="639" spans="1:10" x14ac:dyDescent="0.3">
      <c r="A639" t="s">
        <v>675</v>
      </c>
      <c r="B639" t="s">
        <v>125</v>
      </c>
      <c r="C639">
        <v>90</v>
      </c>
      <c r="D639" t="s">
        <v>13</v>
      </c>
      <c r="E639" t="str">
        <f>IF(Churn_part[[#This Row],[Type_Forfait]]="Pro Monde", "B2B", "B2C")</f>
        <v>B2B</v>
      </c>
      <c r="F639">
        <v>195</v>
      </c>
      <c r="G639" s="8">
        <v>52.71</v>
      </c>
      <c r="H639">
        <v>2</v>
      </c>
      <c r="I63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39" s="8">
        <f>Churn_part[[#This Row],[Facture_Mensuelle]]*Churn_part[[#This Row],[Remise Client]]</f>
        <v>5.2710000000000008</v>
      </c>
    </row>
    <row r="640" spans="1:10" x14ac:dyDescent="0.3">
      <c r="A640" t="s">
        <v>676</v>
      </c>
      <c r="B640" t="s">
        <v>25</v>
      </c>
      <c r="C640">
        <v>22</v>
      </c>
      <c r="D640" t="s">
        <v>13</v>
      </c>
      <c r="E640" t="str">
        <f>IF(Churn_part[[#This Row],[Type_Forfait]]="Pro Monde", "B2B", "B2C")</f>
        <v>B2B</v>
      </c>
      <c r="F640">
        <v>374</v>
      </c>
      <c r="G640" s="8">
        <v>40.06</v>
      </c>
      <c r="H640">
        <v>5</v>
      </c>
      <c r="I64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40" s="8">
        <f>Churn_part[[#This Row],[Facture_Mensuelle]]*Churn_part[[#This Row],[Remise Client]]</f>
        <v>4.0060000000000002</v>
      </c>
    </row>
    <row r="641" spans="1:10" x14ac:dyDescent="0.3">
      <c r="A641" t="s">
        <v>677</v>
      </c>
      <c r="B641" t="s">
        <v>15</v>
      </c>
      <c r="C641">
        <v>119</v>
      </c>
      <c r="D641" t="s">
        <v>21</v>
      </c>
      <c r="E641" t="str">
        <f>IF(Churn_part[[#This Row],[Type_Forfait]]="Pro Monde", "B2B", "B2C")</f>
        <v>B2C</v>
      </c>
      <c r="F641">
        <v>475</v>
      </c>
      <c r="G641" s="8">
        <v>25.98</v>
      </c>
      <c r="H641">
        <v>4</v>
      </c>
      <c r="I64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41" s="8">
        <f>Churn_part[[#This Row],[Facture_Mensuelle]]*Churn_part[[#This Row],[Remise Client]]</f>
        <v>11.691000000000001</v>
      </c>
    </row>
    <row r="642" spans="1:10" x14ac:dyDescent="0.3">
      <c r="A642" t="s">
        <v>678</v>
      </c>
      <c r="B642" t="s">
        <v>50</v>
      </c>
      <c r="C642">
        <v>18</v>
      </c>
      <c r="D642" t="s">
        <v>13</v>
      </c>
      <c r="E642" t="str">
        <f>IF(Churn_part[[#This Row],[Type_Forfait]]="Pro Monde", "B2B", "B2C")</f>
        <v>B2B</v>
      </c>
      <c r="F642">
        <v>216</v>
      </c>
      <c r="G642" s="8">
        <v>33.74</v>
      </c>
      <c r="H642">
        <v>5</v>
      </c>
      <c r="I64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42" s="8">
        <f>Churn_part[[#This Row],[Facture_Mensuelle]]*Churn_part[[#This Row],[Remise Client]]</f>
        <v>3.3740000000000006</v>
      </c>
    </row>
    <row r="643" spans="1:10" x14ac:dyDescent="0.3">
      <c r="A643" t="s">
        <v>679</v>
      </c>
      <c r="B643" t="s">
        <v>20</v>
      </c>
      <c r="C643">
        <v>75</v>
      </c>
      <c r="D643" t="s">
        <v>21</v>
      </c>
      <c r="E643" t="str">
        <f>IF(Churn_part[[#This Row],[Type_Forfait]]="Pro Monde", "B2B", "B2C")</f>
        <v>B2C</v>
      </c>
      <c r="F643">
        <v>99</v>
      </c>
      <c r="G643" s="8">
        <v>16.93</v>
      </c>
      <c r="H643">
        <v>5</v>
      </c>
      <c r="I64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43" s="8">
        <f>Churn_part[[#This Row],[Facture_Mensuelle]]*Churn_part[[#This Row],[Remise Client]]</f>
        <v>0</v>
      </c>
    </row>
    <row r="644" spans="1:10" x14ac:dyDescent="0.3">
      <c r="A644" t="s">
        <v>680</v>
      </c>
      <c r="B644" t="s">
        <v>30</v>
      </c>
      <c r="C644">
        <v>59</v>
      </c>
      <c r="D644" t="s">
        <v>18</v>
      </c>
      <c r="E644" t="str">
        <f>IF(Churn_part[[#This Row],[Type_Forfait]]="Pro Monde", "B2B", "B2C")</f>
        <v>B2C</v>
      </c>
      <c r="F644">
        <v>150</v>
      </c>
      <c r="G644" s="8">
        <v>71.13</v>
      </c>
      <c r="H644">
        <v>0</v>
      </c>
      <c r="I64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44" s="8">
        <f>Churn_part[[#This Row],[Facture_Mensuelle]]*Churn_part[[#This Row],[Remise Client]]</f>
        <v>0</v>
      </c>
    </row>
    <row r="645" spans="1:10" x14ac:dyDescent="0.3">
      <c r="A645" t="s">
        <v>681</v>
      </c>
      <c r="B645" t="s">
        <v>50</v>
      </c>
      <c r="C645">
        <v>16</v>
      </c>
      <c r="D645" t="s">
        <v>10</v>
      </c>
      <c r="E645" t="str">
        <f>IF(Churn_part[[#This Row],[Type_Forfait]]="Pro Monde", "B2B", "B2C")</f>
        <v>B2C</v>
      </c>
      <c r="F645">
        <v>96</v>
      </c>
      <c r="G645" s="8">
        <v>86.78</v>
      </c>
      <c r="H645">
        <v>1</v>
      </c>
      <c r="I64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45" s="8">
        <f>Churn_part[[#This Row],[Facture_Mensuelle]]*Churn_part[[#This Row],[Remise Client]]</f>
        <v>0</v>
      </c>
    </row>
    <row r="646" spans="1:10" x14ac:dyDescent="0.3">
      <c r="A646" t="s">
        <v>682</v>
      </c>
      <c r="B646" t="s">
        <v>63</v>
      </c>
      <c r="C646">
        <v>17</v>
      </c>
      <c r="D646" t="s">
        <v>13</v>
      </c>
      <c r="E646" t="str">
        <f>IF(Churn_part[[#This Row],[Type_Forfait]]="Pro Monde", "B2B", "B2C")</f>
        <v>B2B</v>
      </c>
      <c r="F646">
        <v>206</v>
      </c>
      <c r="G646" s="8">
        <v>63.46</v>
      </c>
      <c r="H646">
        <v>3</v>
      </c>
      <c r="I64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46" s="8">
        <f>Churn_part[[#This Row],[Facture_Mensuelle]]*Churn_part[[#This Row],[Remise Client]]</f>
        <v>6.3460000000000001</v>
      </c>
    </row>
    <row r="647" spans="1:10" x14ac:dyDescent="0.3">
      <c r="A647" t="s">
        <v>683</v>
      </c>
      <c r="B647" t="s">
        <v>56</v>
      </c>
      <c r="C647">
        <v>41</v>
      </c>
      <c r="D647" t="s">
        <v>21</v>
      </c>
      <c r="E647" t="str">
        <f>IF(Churn_part[[#This Row],[Type_Forfait]]="Pro Monde", "B2B", "B2C")</f>
        <v>B2C</v>
      </c>
      <c r="F647">
        <v>90</v>
      </c>
      <c r="G647" s="8">
        <v>97.26</v>
      </c>
      <c r="H647">
        <v>1</v>
      </c>
      <c r="I64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47" s="8">
        <f>Churn_part[[#This Row],[Facture_Mensuelle]]*Churn_part[[#This Row],[Remise Client]]</f>
        <v>0</v>
      </c>
    </row>
    <row r="648" spans="1:10" x14ac:dyDescent="0.3">
      <c r="A648" t="s">
        <v>684</v>
      </c>
      <c r="B648" t="s">
        <v>61</v>
      </c>
      <c r="C648">
        <v>111</v>
      </c>
      <c r="D648" t="s">
        <v>10</v>
      </c>
      <c r="E648" t="str">
        <f>IF(Churn_part[[#This Row],[Type_Forfait]]="Pro Monde", "B2B", "B2C")</f>
        <v>B2C</v>
      </c>
      <c r="F648">
        <v>304</v>
      </c>
      <c r="G648" s="8">
        <v>62.48</v>
      </c>
      <c r="H648">
        <v>5</v>
      </c>
      <c r="I64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48" s="8">
        <f>Churn_part[[#This Row],[Facture_Mensuelle]]*Churn_part[[#This Row],[Remise Client]]</f>
        <v>28.116</v>
      </c>
    </row>
    <row r="649" spans="1:10" x14ac:dyDescent="0.3">
      <c r="A649" t="s">
        <v>685</v>
      </c>
      <c r="B649" t="s">
        <v>63</v>
      </c>
      <c r="C649">
        <v>19</v>
      </c>
      <c r="D649" t="s">
        <v>18</v>
      </c>
      <c r="E649" t="str">
        <f>IF(Churn_part[[#This Row],[Type_Forfait]]="Pro Monde", "B2B", "B2C")</f>
        <v>B2C</v>
      </c>
      <c r="F649">
        <v>141</v>
      </c>
      <c r="G649" s="8">
        <v>53.95</v>
      </c>
      <c r="H649">
        <v>1</v>
      </c>
      <c r="I64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49" s="8">
        <f>Churn_part[[#This Row],[Facture_Mensuelle]]*Churn_part[[#This Row],[Remise Client]]</f>
        <v>0</v>
      </c>
    </row>
    <row r="650" spans="1:10" x14ac:dyDescent="0.3">
      <c r="A650" t="s">
        <v>686</v>
      </c>
      <c r="B650" t="s">
        <v>17</v>
      </c>
      <c r="C650">
        <v>20</v>
      </c>
      <c r="D650" t="s">
        <v>18</v>
      </c>
      <c r="E650" t="str">
        <f>IF(Churn_part[[#This Row],[Type_Forfait]]="Pro Monde", "B2B", "B2C")</f>
        <v>B2C</v>
      </c>
      <c r="F650">
        <v>297</v>
      </c>
      <c r="G650" s="8">
        <v>14.77</v>
      </c>
      <c r="H650">
        <v>0</v>
      </c>
      <c r="I65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50" s="8">
        <f>Churn_part[[#This Row],[Facture_Mensuelle]]*Churn_part[[#This Row],[Remise Client]]</f>
        <v>6.6464999999999996</v>
      </c>
    </row>
    <row r="651" spans="1:10" x14ac:dyDescent="0.3">
      <c r="A651" t="s">
        <v>687</v>
      </c>
      <c r="B651" t="s">
        <v>36</v>
      </c>
      <c r="C651">
        <v>67</v>
      </c>
      <c r="D651" t="s">
        <v>10</v>
      </c>
      <c r="E651" t="str">
        <f>IF(Churn_part[[#This Row],[Type_Forfait]]="Pro Monde", "B2B", "B2C")</f>
        <v>B2C</v>
      </c>
      <c r="F651">
        <v>262</v>
      </c>
      <c r="G651" s="8">
        <v>28.46</v>
      </c>
      <c r="H651">
        <v>3</v>
      </c>
      <c r="I65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51" s="8">
        <f>Churn_part[[#This Row],[Facture_Mensuelle]]*Churn_part[[#This Row],[Remise Client]]</f>
        <v>12.807</v>
      </c>
    </row>
    <row r="652" spans="1:10" x14ac:dyDescent="0.3">
      <c r="A652" t="s">
        <v>688</v>
      </c>
      <c r="B652" t="s">
        <v>9</v>
      </c>
      <c r="C652">
        <v>38</v>
      </c>
      <c r="D652" t="s">
        <v>21</v>
      </c>
      <c r="E652" t="str">
        <f>IF(Churn_part[[#This Row],[Type_Forfait]]="Pro Monde", "B2B", "B2C")</f>
        <v>B2C</v>
      </c>
      <c r="F652">
        <v>191</v>
      </c>
      <c r="G652" s="8">
        <v>22.97</v>
      </c>
      <c r="H652">
        <v>3</v>
      </c>
      <c r="I65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52" s="8">
        <f>Churn_part[[#This Row],[Facture_Mensuelle]]*Churn_part[[#This Row],[Remise Client]]</f>
        <v>0</v>
      </c>
    </row>
    <row r="653" spans="1:10" x14ac:dyDescent="0.3">
      <c r="A653" t="s">
        <v>689</v>
      </c>
      <c r="B653" t="s">
        <v>20</v>
      </c>
      <c r="C653">
        <v>80</v>
      </c>
      <c r="D653" t="s">
        <v>18</v>
      </c>
      <c r="E653" t="str">
        <f>IF(Churn_part[[#This Row],[Type_Forfait]]="Pro Monde", "B2B", "B2C")</f>
        <v>B2C</v>
      </c>
      <c r="F653">
        <v>65</v>
      </c>
      <c r="G653" s="8">
        <v>76.64</v>
      </c>
      <c r="H653">
        <v>3</v>
      </c>
      <c r="I65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53" s="8">
        <f>Churn_part[[#This Row],[Facture_Mensuelle]]*Churn_part[[#This Row],[Remise Client]]</f>
        <v>0</v>
      </c>
    </row>
    <row r="654" spans="1:10" x14ac:dyDescent="0.3">
      <c r="A654" t="s">
        <v>690</v>
      </c>
      <c r="B654" t="s">
        <v>32</v>
      </c>
      <c r="C654">
        <v>72</v>
      </c>
      <c r="D654" t="s">
        <v>13</v>
      </c>
      <c r="E654" t="str">
        <f>IF(Churn_part[[#This Row],[Type_Forfait]]="Pro Monde", "B2B", "B2C")</f>
        <v>B2B</v>
      </c>
      <c r="F654">
        <v>317</v>
      </c>
      <c r="G654" s="8">
        <v>54.58</v>
      </c>
      <c r="H654">
        <v>1</v>
      </c>
      <c r="I65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54" s="8">
        <f>Churn_part[[#This Row],[Facture_Mensuelle]]*Churn_part[[#This Row],[Remise Client]]</f>
        <v>5.4580000000000002</v>
      </c>
    </row>
    <row r="655" spans="1:10" x14ac:dyDescent="0.3">
      <c r="A655" t="s">
        <v>691</v>
      </c>
      <c r="B655" t="s">
        <v>17</v>
      </c>
      <c r="C655">
        <v>86</v>
      </c>
      <c r="D655" t="s">
        <v>10</v>
      </c>
      <c r="E655" t="str">
        <f>IF(Churn_part[[#This Row],[Type_Forfait]]="Pro Monde", "B2B", "B2C")</f>
        <v>B2C</v>
      </c>
      <c r="F655">
        <v>278</v>
      </c>
      <c r="G655" s="8">
        <v>30.12</v>
      </c>
      <c r="H655">
        <v>0</v>
      </c>
      <c r="I65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55" s="8">
        <f>Churn_part[[#This Row],[Facture_Mensuelle]]*Churn_part[[#This Row],[Remise Client]]</f>
        <v>13.554</v>
      </c>
    </row>
    <row r="656" spans="1:10" x14ac:dyDescent="0.3">
      <c r="A656" t="s">
        <v>692</v>
      </c>
      <c r="B656" t="s">
        <v>39</v>
      </c>
      <c r="C656">
        <v>21</v>
      </c>
      <c r="D656" t="s">
        <v>21</v>
      </c>
      <c r="E656" t="str">
        <f>IF(Churn_part[[#This Row],[Type_Forfait]]="Pro Monde", "B2B", "B2C")</f>
        <v>B2C</v>
      </c>
      <c r="F656">
        <v>460</v>
      </c>
      <c r="G656" s="8">
        <v>70.81</v>
      </c>
      <c r="H656">
        <v>2</v>
      </c>
      <c r="I65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56" s="8">
        <f>Churn_part[[#This Row],[Facture_Mensuelle]]*Churn_part[[#This Row],[Remise Client]]</f>
        <v>31.864500000000003</v>
      </c>
    </row>
    <row r="657" spans="1:10" x14ac:dyDescent="0.3">
      <c r="A657" t="s">
        <v>693</v>
      </c>
      <c r="B657" t="s">
        <v>32</v>
      </c>
      <c r="C657">
        <v>39</v>
      </c>
      <c r="D657" t="s">
        <v>13</v>
      </c>
      <c r="E657" t="str">
        <f>IF(Churn_part[[#This Row],[Type_Forfait]]="Pro Monde", "B2B", "B2C")</f>
        <v>B2B</v>
      </c>
      <c r="F657">
        <v>289</v>
      </c>
      <c r="G657" s="8">
        <v>86.7</v>
      </c>
      <c r="H657">
        <v>3</v>
      </c>
      <c r="I65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57" s="8">
        <f>Churn_part[[#This Row],[Facture_Mensuelle]]*Churn_part[[#This Row],[Remise Client]]</f>
        <v>8.67</v>
      </c>
    </row>
    <row r="658" spans="1:10" x14ac:dyDescent="0.3">
      <c r="A658" t="s">
        <v>694</v>
      </c>
      <c r="B658" t="s">
        <v>129</v>
      </c>
      <c r="C658">
        <v>63</v>
      </c>
      <c r="D658" t="s">
        <v>13</v>
      </c>
      <c r="E658" t="str">
        <f>IF(Churn_part[[#This Row],[Type_Forfait]]="Pro Monde", "B2B", "B2C")</f>
        <v>B2B</v>
      </c>
      <c r="F658">
        <v>449</v>
      </c>
      <c r="G658" s="8">
        <v>37.08</v>
      </c>
      <c r="H658">
        <v>0</v>
      </c>
      <c r="I65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58" s="8">
        <f>Churn_part[[#This Row],[Facture_Mensuelle]]*Churn_part[[#This Row],[Remise Client]]</f>
        <v>3.7080000000000002</v>
      </c>
    </row>
    <row r="659" spans="1:10" x14ac:dyDescent="0.3">
      <c r="A659" t="s">
        <v>695</v>
      </c>
      <c r="B659" t="s">
        <v>15</v>
      </c>
      <c r="C659">
        <v>37</v>
      </c>
      <c r="D659" t="s">
        <v>13</v>
      </c>
      <c r="E659" t="str">
        <f>IF(Churn_part[[#This Row],[Type_Forfait]]="Pro Monde", "B2B", "B2C")</f>
        <v>B2B</v>
      </c>
      <c r="F659">
        <v>150</v>
      </c>
      <c r="G659" s="8">
        <v>37.979999999999997</v>
      </c>
      <c r="H659">
        <v>4</v>
      </c>
      <c r="I65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59" s="8">
        <f>Churn_part[[#This Row],[Facture_Mensuelle]]*Churn_part[[#This Row],[Remise Client]]</f>
        <v>3.798</v>
      </c>
    </row>
    <row r="660" spans="1:10" x14ac:dyDescent="0.3">
      <c r="A660" t="s">
        <v>696</v>
      </c>
      <c r="B660" t="s">
        <v>50</v>
      </c>
      <c r="C660">
        <v>9</v>
      </c>
      <c r="D660" t="s">
        <v>18</v>
      </c>
      <c r="E660" t="str">
        <f>IF(Churn_part[[#This Row],[Type_Forfait]]="Pro Monde", "B2B", "B2C")</f>
        <v>B2C</v>
      </c>
      <c r="F660">
        <v>27</v>
      </c>
      <c r="G660" s="8">
        <v>99.02</v>
      </c>
      <c r="H660">
        <v>3</v>
      </c>
      <c r="I66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60" s="8">
        <f>Churn_part[[#This Row],[Facture_Mensuelle]]*Churn_part[[#This Row],[Remise Client]]</f>
        <v>0</v>
      </c>
    </row>
    <row r="661" spans="1:10" x14ac:dyDescent="0.3">
      <c r="A661" t="s">
        <v>697</v>
      </c>
      <c r="B661" t="s">
        <v>66</v>
      </c>
      <c r="C661">
        <v>103</v>
      </c>
      <c r="D661" t="s">
        <v>10</v>
      </c>
      <c r="E661" t="str">
        <f>IF(Churn_part[[#This Row],[Type_Forfait]]="Pro Monde", "B2B", "B2C")</f>
        <v>B2C</v>
      </c>
      <c r="F661">
        <v>386</v>
      </c>
      <c r="G661" s="8">
        <v>10.58</v>
      </c>
      <c r="H661">
        <v>0</v>
      </c>
      <c r="I66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61" s="8">
        <f>Churn_part[[#This Row],[Facture_Mensuelle]]*Churn_part[[#This Row],[Remise Client]]</f>
        <v>4.7610000000000001</v>
      </c>
    </row>
    <row r="662" spans="1:10" x14ac:dyDescent="0.3">
      <c r="A662" t="s">
        <v>698</v>
      </c>
      <c r="B662" t="s">
        <v>15</v>
      </c>
      <c r="C662">
        <v>38</v>
      </c>
      <c r="D662" t="s">
        <v>10</v>
      </c>
      <c r="E662" t="str">
        <f>IF(Churn_part[[#This Row],[Type_Forfait]]="Pro Monde", "B2B", "B2C")</f>
        <v>B2C</v>
      </c>
      <c r="F662">
        <v>432</v>
      </c>
      <c r="G662" s="8">
        <v>53.65</v>
      </c>
      <c r="H662">
        <v>4</v>
      </c>
      <c r="I66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62" s="8">
        <f>Churn_part[[#This Row],[Facture_Mensuelle]]*Churn_part[[#This Row],[Remise Client]]</f>
        <v>24.142499999999998</v>
      </c>
    </row>
    <row r="663" spans="1:10" x14ac:dyDescent="0.3">
      <c r="A663" t="s">
        <v>699</v>
      </c>
      <c r="B663" t="s">
        <v>12</v>
      </c>
      <c r="C663">
        <v>2</v>
      </c>
      <c r="D663" t="s">
        <v>10</v>
      </c>
      <c r="E663" t="str">
        <f>IF(Churn_part[[#This Row],[Type_Forfait]]="Pro Monde", "B2B", "B2C")</f>
        <v>B2C</v>
      </c>
      <c r="F663">
        <v>201</v>
      </c>
      <c r="G663" s="8">
        <v>71.900000000000006</v>
      </c>
      <c r="H663">
        <v>2</v>
      </c>
      <c r="I66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63" s="8">
        <f>Churn_part[[#This Row],[Facture_Mensuelle]]*Churn_part[[#This Row],[Remise Client]]</f>
        <v>0</v>
      </c>
    </row>
    <row r="664" spans="1:10" x14ac:dyDescent="0.3">
      <c r="A664" t="s">
        <v>700</v>
      </c>
      <c r="B664" t="s">
        <v>59</v>
      </c>
      <c r="C664">
        <v>59</v>
      </c>
      <c r="D664" t="s">
        <v>21</v>
      </c>
      <c r="E664" t="str">
        <f>IF(Churn_part[[#This Row],[Type_Forfait]]="Pro Monde", "B2B", "B2C")</f>
        <v>B2C</v>
      </c>
      <c r="F664">
        <v>64</v>
      </c>
      <c r="G664" s="8">
        <v>20.32</v>
      </c>
      <c r="H664">
        <v>0</v>
      </c>
      <c r="I66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64" s="8">
        <f>Churn_part[[#This Row],[Facture_Mensuelle]]*Churn_part[[#This Row],[Remise Client]]</f>
        <v>0</v>
      </c>
    </row>
    <row r="665" spans="1:10" x14ac:dyDescent="0.3">
      <c r="A665" t="s">
        <v>701</v>
      </c>
      <c r="B665" t="s">
        <v>125</v>
      </c>
      <c r="C665">
        <v>6</v>
      </c>
      <c r="D665" t="s">
        <v>13</v>
      </c>
      <c r="E665" t="str">
        <f>IF(Churn_part[[#This Row],[Type_Forfait]]="Pro Monde", "B2B", "B2C")</f>
        <v>B2B</v>
      </c>
      <c r="F665">
        <v>206</v>
      </c>
      <c r="G665" s="8">
        <v>10</v>
      </c>
      <c r="H665">
        <v>5</v>
      </c>
      <c r="I66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65" s="8">
        <f>Churn_part[[#This Row],[Facture_Mensuelle]]*Churn_part[[#This Row],[Remise Client]]</f>
        <v>1</v>
      </c>
    </row>
    <row r="666" spans="1:10" x14ac:dyDescent="0.3">
      <c r="A666" t="s">
        <v>702</v>
      </c>
      <c r="B666" t="s">
        <v>72</v>
      </c>
      <c r="C666">
        <v>28</v>
      </c>
      <c r="D666" t="s">
        <v>10</v>
      </c>
      <c r="E666" t="str">
        <f>IF(Churn_part[[#This Row],[Type_Forfait]]="Pro Monde", "B2B", "B2C")</f>
        <v>B2C</v>
      </c>
      <c r="F666">
        <v>343</v>
      </c>
      <c r="G666" s="8">
        <v>64.34</v>
      </c>
      <c r="H666">
        <v>5</v>
      </c>
      <c r="I66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66" s="8">
        <f>Churn_part[[#This Row],[Facture_Mensuelle]]*Churn_part[[#This Row],[Remise Client]]</f>
        <v>28.953000000000003</v>
      </c>
    </row>
    <row r="667" spans="1:10" x14ac:dyDescent="0.3">
      <c r="A667" t="s">
        <v>703</v>
      </c>
      <c r="B667" t="s">
        <v>28</v>
      </c>
      <c r="C667">
        <v>37</v>
      </c>
      <c r="D667" t="s">
        <v>21</v>
      </c>
      <c r="E667" t="str">
        <f>IF(Churn_part[[#This Row],[Type_Forfait]]="Pro Monde", "B2B", "B2C")</f>
        <v>B2C</v>
      </c>
      <c r="F667">
        <v>3</v>
      </c>
      <c r="G667" s="8">
        <v>20.89</v>
      </c>
      <c r="H667">
        <v>5</v>
      </c>
      <c r="I66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67" s="8">
        <f>Churn_part[[#This Row],[Facture_Mensuelle]]*Churn_part[[#This Row],[Remise Client]]</f>
        <v>0</v>
      </c>
    </row>
    <row r="668" spans="1:10" x14ac:dyDescent="0.3">
      <c r="A668" t="s">
        <v>704</v>
      </c>
      <c r="B668" t="s">
        <v>66</v>
      </c>
      <c r="C668">
        <v>106</v>
      </c>
      <c r="D668" t="s">
        <v>21</v>
      </c>
      <c r="E668" t="str">
        <f>IF(Churn_part[[#This Row],[Type_Forfait]]="Pro Monde", "B2B", "B2C")</f>
        <v>B2C</v>
      </c>
      <c r="F668">
        <v>236</v>
      </c>
      <c r="G668" s="8">
        <v>18.72</v>
      </c>
      <c r="H668">
        <v>4</v>
      </c>
      <c r="I66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68" s="8">
        <f>Churn_part[[#This Row],[Facture_Mensuelle]]*Churn_part[[#This Row],[Remise Client]]</f>
        <v>0</v>
      </c>
    </row>
    <row r="669" spans="1:10" x14ac:dyDescent="0.3">
      <c r="A669" t="s">
        <v>705</v>
      </c>
      <c r="B669" t="s">
        <v>12</v>
      </c>
      <c r="C669">
        <v>76</v>
      </c>
      <c r="D669" t="s">
        <v>10</v>
      </c>
      <c r="E669" t="str">
        <f>IF(Churn_part[[#This Row],[Type_Forfait]]="Pro Monde", "B2B", "B2C")</f>
        <v>B2C</v>
      </c>
      <c r="F669">
        <v>413</v>
      </c>
      <c r="G669" s="8">
        <v>28.39</v>
      </c>
      <c r="H669">
        <v>3</v>
      </c>
      <c r="I66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69" s="8">
        <f>Churn_part[[#This Row],[Facture_Mensuelle]]*Churn_part[[#This Row],[Remise Client]]</f>
        <v>12.775500000000001</v>
      </c>
    </row>
    <row r="670" spans="1:10" x14ac:dyDescent="0.3">
      <c r="A670" t="s">
        <v>706</v>
      </c>
      <c r="B670" t="s">
        <v>20</v>
      </c>
      <c r="C670">
        <v>16</v>
      </c>
      <c r="D670" t="s">
        <v>21</v>
      </c>
      <c r="E670" t="str">
        <f>IF(Churn_part[[#This Row],[Type_Forfait]]="Pro Monde", "B2B", "B2C")</f>
        <v>B2C</v>
      </c>
      <c r="F670">
        <v>390</v>
      </c>
      <c r="G670" s="8">
        <v>52.64</v>
      </c>
      <c r="H670">
        <v>0</v>
      </c>
      <c r="I67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70" s="8">
        <f>Churn_part[[#This Row],[Facture_Mensuelle]]*Churn_part[[#This Row],[Remise Client]]</f>
        <v>23.688000000000002</v>
      </c>
    </row>
    <row r="671" spans="1:10" x14ac:dyDescent="0.3">
      <c r="A671" t="s">
        <v>707</v>
      </c>
      <c r="B671" t="s">
        <v>77</v>
      </c>
      <c r="C671">
        <v>7</v>
      </c>
      <c r="D671" t="s">
        <v>13</v>
      </c>
      <c r="E671" t="str">
        <f>IF(Churn_part[[#This Row],[Type_Forfait]]="Pro Monde", "B2B", "B2C")</f>
        <v>B2B</v>
      </c>
      <c r="F671">
        <v>447</v>
      </c>
      <c r="G671" s="8">
        <v>84.95</v>
      </c>
      <c r="H671">
        <v>2</v>
      </c>
      <c r="I67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71" s="8">
        <f>Churn_part[[#This Row],[Facture_Mensuelle]]*Churn_part[[#This Row],[Remise Client]]</f>
        <v>8.495000000000001</v>
      </c>
    </row>
    <row r="672" spans="1:10" x14ac:dyDescent="0.3">
      <c r="A672" t="s">
        <v>708</v>
      </c>
      <c r="B672" t="s">
        <v>129</v>
      </c>
      <c r="C672">
        <v>63</v>
      </c>
      <c r="D672" t="s">
        <v>21</v>
      </c>
      <c r="E672" t="str">
        <f>IF(Churn_part[[#This Row],[Type_Forfait]]="Pro Monde", "B2B", "B2C")</f>
        <v>B2C</v>
      </c>
      <c r="F672">
        <v>265</v>
      </c>
      <c r="G672" s="8">
        <v>49.94</v>
      </c>
      <c r="H672">
        <v>1</v>
      </c>
      <c r="I67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72" s="8">
        <f>Churn_part[[#This Row],[Facture_Mensuelle]]*Churn_part[[#This Row],[Remise Client]]</f>
        <v>22.472999999999999</v>
      </c>
    </row>
    <row r="673" spans="1:10" x14ac:dyDescent="0.3">
      <c r="A673" t="s">
        <v>709</v>
      </c>
      <c r="B673" t="s">
        <v>87</v>
      </c>
      <c r="C673">
        <v>40</v>
      </c>
      <c r="D673" t="s">
        <v>10</v>
      </c>
      <c r="E673" t="str">
        <f>IF(Churn_part[[#This Row],[Type_Forfait]]="Pro Monde", "B2B", "B2C")</f>
        <v>B2C</v>
      </c>
      <c r="F673">
        <v>235</v>
      </c>
      <c r="G673" s="8">
        <v>15.01</v>
      </c>
      <c r="H673">
        <v>3</v>
      </c>
      <c r="I67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73" s="8">
        <f>Churn_part[[#This Row],[Facture_Mensuelle]]*Churn_part[[#This Row],[Remise Client]]</f>
        <v>0</v>
      </c>
    </row>
    <row r="674" spans="1:10" x14ac:dyDescent="0.3">
      <c r="A674" t="s">
        <v>710</v>
      </c>
      <c r="B674" t="s">
        <v>9</v>
      </c>
      <c r="C674">
        <v>1</v>
      </c>
      <c r="D674" t="s">
        <v>10</v>
      </c>
      <c r="E674" t="str">
        <f>IF(Churn_part[[#This Row],[Type_Forfait]]="Pro Monde", "B2B", "B2C")</f>
        <v>B2C</v>
      </c>
      <c r="F674">
        <v>429</v>
      </c>
      <c r="G674" s="8">
        <v>20.96</v>
      </c>
      <c r="H674">
        <v>5</v>
      </c>
      <c r="I67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74" s="8">
        <f>Churn_part[[#This Row],[Facture_Mensuelle]]*Churn_part[[#This Row],[Remise Client]]</f>
        <v>9.4320000000000004</v>
      </c>
    </row>
    <row r="675" spans="1:10" x14ac:dyDescent="0.3">
      <c r="A675" t="s">
        <v>711</v>
      </c>
      <c r="B675" t="s">
        <v>66</v>
      </c>
      <c r="C675">
        <v>56</v>
      </c>
      <c r="D675" t="s">
        <v>18</v>
      </c>
      <c r="E675" t="str">
        <f>IF(Churn_part[[#This Row],[Type_Forfait]]="Pro Monde", "B2B", "B2C")</f>
        <v>B2C</v>
      </c>
      <c r="F675">
        <v>27</v>
      </c>
      <c r="G675" s="8">
        <v>46.41</v>
      </c>
      <c r="H675">
        <v>3</v>
      </c>
      <c r="I67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75" s="8">
        <f>Churn_part[[#This Row],[Facture_Mensuelle]]*Churn_part[[#This Row],[Remise Client]]</f>
        <v>0</v>
      </c>
    </row>
    <row r="676" spans="1:10" x14ac:dyDescent="0.3">
      <c r="A676" t="s">
        <v>712</v>
      </c>
      <c r="B676" t="s">
        <v>34</v>
      </c>
      <c r="C676">
        <v>46</v>
      </c>
      <c r="D676" t="s">
        <v>10</v>
      </c>
      <c r="E676" t="str">
        <f>IF(Churn_part[[#This Row],[Type_Forfait]]="Pro Monde", "B2B", "B2C")</f>
        <v>B2C</v>
      </c>
      <c r="F676">
        <v>43</v>
      </c>
      <c r="G676" s="8">
        <v>98.44</v>
      </c>
      <c r="H676">
        <v>2</v>
      </c>
      <c r="I67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76" s="8">
        <f>Churn_part[[#This Row],[Facture_Mensuelle]]*Churn_part[[#This Row],[Remise Client]]</f>
        <v>0</v>
      </c>
    </row>
    <row r="677" spans="1:10" x14ac:dyDescent="0.3">
      <c r="A677" t="s">
        <v>713</v>
      </c>
      <c r="B677" t="s">
        <v>32</v>
      </c>
      <c r="C677">
        <v>85</v>
      </c>
      <c r="D677" t="s">
        <v>13</v>
      </c>
      <c r="E677" t="str">
        <f>IF(Churn_part[[#This Row],[Type_Forfait]]="Pro Monde", "B2B", "B2C")</f>
        <v>B2B</v>
      </c>
      <c r="F677">
        <v>28</v>
      </c>
      <c r="G677" s="8">
        <v>83.82</v>
      </c>
      <c r="H677">
        <v>0</v>
      </c>
      <c r="I67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77" s="8">
        <f>Churn_part[[#This Row],[Facture_Mensuelle]]*Churn_part[[#This Row],[Remise Client]]</f>
        <v>8.3819999999999997</v>
      </c>
    </row>
    <row r="678" spans="1:10" x14ac:dyDescent="0.3">
      <c r="A678" t="s">
        <v>714</v>
      </c>
      <c r="B678" t="s">
        <v>61</v>
      </c>
      <c r="C678">
        <v>107</v>
      </c>
      <c r="D678" t="s">
        <v>21</v>
      </c>
      <c r="E678" t="str">
        <f>IF(Churn_part[[#This Row],[Type_Forfait]]="Pro Monde", "B2B", "B2C")</f>
        <v>B2C</v>
      </c>
      <c r="F678">
        <v>138</v>
      </c>
      <c r="G678" s="8">
        <v>85.75</v>
      </c>
      <c r="H678">
        <v>1</v>
      </c>
      <c r="I67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78" s="8">
        <f>Churn_part[[#This Row],[Facture_Mensuelle]]*Churn_part[[#This Row],[Remise Client]]</f>
        <v>0</v>
      </c>
    </row>
    <row r="679" spans="1:10" x14ac:dyDescent="0.3">
      <c r="A679" t="s">
        <v>715</v>
      </c>
      <c r="B679" t="s">
        <v>87</v>
      </c>
      <c r="C679">
        <v>1</v>
      </c>
      <c r="D679" t="s">
        <v>13</v>
      </c>
      <c r="E679" t="str">
        <f>IF(Churn_part[[#This Row],[Type_Forfait]]="Pro Monde", "B2B", "B2C")</f>
        <v>B2B</v>
      </c>
      <c r="F679">
        <v>424</v>
      </c>
      <c r="G679" s="8">
        <v>59.2</v>
      </c>
      <c r="H679">
        <v>2</v>
      </c>
      <c r="I67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79" s="8">
        <f>Churn_part[[#This Row],[Facture_Mensuelle]]*Churn_part[[#This Row],[Remise Client]]</f>
        <v>5.9200000000000008</v>
      </c>
    </row>
    <row r="680" spans="1:10" x14ac:dyDescent="0.3">
      <c r="A680" t="s">
        <v>716</v>
      </c>
      <c r="B680" t="s">
        <v>72</v>
      </c>
      <c r="C680">
        <v>7</v>
      </c>
      <c r="D680" t="s">
        <v>13</v>
      </c>
      <c r="E680" t="str">
        <f>IF(Churn_part[[#This Row],[Type_Forfait]]="Pro Monde", "B2B", "B2C")</f>
        <v>B2B</v>
      </c>
      <c r="F680">
        <v>332</v>
      </c>
      <c r="G680" s="8">
        <v>83.95</v>
      </c>
      <c r="H680">
        <v>4</v>
      </c>
      <c r="I68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80" s="8">
        <f>Churn_part[[#This Row],[Facture_Mensuelle]]*Churn_part[[#This Row],[Remise Client]]</f>
        <v>8.3950000000000014</v>
      </c>
    </row>
    <row r="681" spans="1:10" x14ac:dyDescent="0.3">
      <c r="A681" t="s">
        <v>717</v>
      </c>
      <c r="B681" t="s">
        <v>36</v>
      </c>
      <c r="C681">
        <v>33</v>
      </c>
      <c r="D681" t="s">
        <v>18</v>
      </c>
      <c r="E681" t="str">
        <f>IF(Churn_part[[#This Row],[Type_Forfait]]="Pro Monde", "B2B", "B2C")</f>
        <v>B2C</v>
      </c>
      <c r="F681">
        <v>54</v>
      </c>
      <c r="G681" s="8">
        <v>71.319999999999993</v>
      </c>
      <c r="H681">
        <v>4</v>
      </c>
      <c r="I68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81" s="8">
        <f>Churn_part[[#This Row],[Facture_Mensuelle]]*Churn_part[[#This Row],[Remise Client]]</f>
        <v>0</v>
      </c>
    </row>
    <row r="682" spans="1:10" x14ac:dyDescent="0.3">
      <c r="A682" t="s">
        <v>718</v>
      </c>
      <c r="B682" t="s">
        <v>77</v>
      </c>
      <c r="C682">
        <v>18</v>
      </c>
      <c r="D682" t="s">
        <v>21</v>
      </c>
      <c r="E682" t="str">
        <f>IF(Churn_part[[#This Row],[Type_Forfait]]="Pro Monde", "B2B", "B2C")</f>
        <v>B2C</v>
      </c>
      <c r="F682">
        <v>170</v>
      </c>
      <c r="G682" s="8">
        <v>87.34</v>
      </c>
      <c r="H682">
        <v>1</v>
      </c>
      <c r="I68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82" s="8">
        <f>Churn_part[[#This Row],[Facture_Mensuelle]]*Churn_part[[#This Row],[Remise Client]]</f>
        <v>0</v>
      </c>
    </row>
    <row r="683" spans="1:10" x14ac:dyDescent="0.3">
      <c r="A683" t="s">
        <v>719</v>
      </c>
      <c r="B683" t="s">
        <v>30</v>
      </c>
      <c r="C683">
        <v>45</v>
      </c>
      <c r="D683" t="s">
        <v>13</v>
      </c>
      <c r="E683" t="str">
        <f>IF(Churn_part[[#This Row],[Type_Forfait]]="Pro Monde", "B2B", "B2C")</f>
        <v>B2B</v>
      </c>
      <c r="F683">
        <v>304</v>
      </c>
      <c r="G683" s="8">
        <v>65.540000000000006</v>
      </c>
      <c r="H683">
        <v>2</v>
      </c>
      <c r="I68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83" s="8">
        <f>Churn_part[[#This Row],[Facture_Mensuelle]]*Churn_part[[#This Row],[Remise Client]]</f>
        <v>6.5540000000000012</v>
      </c>
    </row>
    <row r="684" spans="1:10" x14ac:dyDescent="0.3">
      <c r="A684" t="s">
        <v>720</v>
      </c>
      <c r="B684" t="s">
        <v>50</v>
      </c>
      <c r="C684">
        <v>113</v>
      </c>
      <c r="D684" t="s">
        <v>10</v>
      </c>
      <c r="E684" t="str">
        <f>IF(Churn_part[[#This Row],[Type_Forfait]]="Pro Monde", "B2B", "B2C")</f>
        <v>B2C</v>
      </c>
      <c r="F684">
        <v>49</v>
      </c>
      <c r="G684" s="8">
        <v>48.91</v>
      </c>
      <c r="H684">
        <v>5</v>
      </c>
      <c r="I68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84" s="8">
        <f>Churn_part[[#This Row],[Facture_Mensuelle]]*Churn_part[[#This Row],[Remise Client]]</f>
        <v>0</v>
      </c>
    </row>
    <row r="685" spans="1:10" x14ac:dyDescent="0.3">
      <c r="A685" t="s">
        <v>721</v>
      </c>
      <c r="B685" t="s">
        <v>9</v>
      </c>
      <c r="C685">
        <v>37</v>
      </c>
      <c r="D685" t="s">
        <v>10</v>
      </c>
      <c r="E685" t="str">
        <f>IF(Churn_part[[#This Row],[Type_Forfait]]="Pro Monde", "B2B", "B2C")</f>
        <v>B2C</v>
      </c>
      <c r="F685">
        <v>420</v>
      </c>
      <c r="G685" s="8">
        <v>67.260000000000005</v>
      </c>
      <c r="H685">
        <v>4</v>
      </c>
      <c r="I68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85" s="8">
        <f>Churn_part[[#This Row],[Facture_Mensuelle]]*Churn_part[[#This Row],[Remise Client]]</f>
        <v>30.267000000000003</v>
      </c>
    </row>
    <row r="686" spans="1:10" x14ac:dyDescent="0.3">
      <c r="A686" t="s">
        <v>722</v>
      </c>
      <c r="B686" t="s">
        <v>23</v>
      </c>
      <c r="C686">
        <v>101</v>
      </c>
      <c r="D686" t="s">
        <v>13</v>
      </c>
      <c r="E686" t="str">
        <f>IF(Churn_part[[#This Row],[Type_Forfait]]="Pro Monde", "B2B", "B2C")</f>
        <v>B2B</v>
      </c>
      <c r="F686">
        <v>148</v>
      </c>
      <c r="G686" s="8">
        <v>26.63</v>
      </c>
      <c r="H686">
        <v>3</v>
      </c>
      <c r="I68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86" s="8">
        <f>Churn_part[[#This Row],[Facture_Mensuelle]]*Churn_part[[#This Row],[Remise Client]]</f>
        <v>2.6630000000000003</v>
      </c>
    </row>
    <row r="687" spans="1:10" x14ac:dyDescent="0.3">
      <c r="A687" t="s">
        <v>723</v>
      </c>
      <c r="B687" t="s">
        <v>125</v>
      </c>
      <c r="C687">
        <v>110</v>
      </c>
      <c r="D687" t="s">
        <v>10</v>
      </c>
      <c r="E687" t="str">
        <f>IF(Churn_part[[#This Row],[Type_Forfait]]="Pro Monde", "B2B", "B2C")</f>
        <v>B2C</v>
      </c>
      <c r="F687">
        <v>289</v>
      </c>
      <c r="G687" s="8">
        <v>83.67</v>
      </c>
      <c r="H687">
        <v>4</v>
      </c>
      <c r="I68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87" s="8">
        <f>Churn_part[[#This Row],[Facture_Mensuelle]]*Churn_part[[#This Row],[Remise Client]]</f>
        <v>37.651499999999999</v>
      </c>
    </row>
    <row r="688" spans="1:10" x14ac:dyDescent="0.3">
      <c r="A688" t="s">
        <v>724</v>
      </c>
      <c r="B688" t="s">
        <v>87</v>
      </c>
      <c r="C688">
        <v>65</v>
      </c>
      <c r="D688" t="s">
        <v>13</v>
      </c>
      <c r="E688" t="str">
        <f>IF(Churn_part[[#This Row],[Type_Forfait]]="Pro Monde", "B2B", "B2C")</f>
        <v>B2B</v>
      </c>
      <c r="F688">
        <v>246</v>
      </c>
      <c r="G688" s="8">
        <v>69.17</v>
      </c>
      <c r="H688">
        <v>0</v>
      </c>
      <c r="I68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88" s="8">
        <f>Churn_part[[#This Row],[Facture_Mensuelle]]*Churn_part[[#This Row],[Remise Client]]</f>
        <v>6.9170000000000007</v>
      </c>
    </row>
    <row r="689" spans="1:10" x14ac:dyDescent="0.3">
      <c r="A689" t="s">
        <v>725</v>
      </c>
      <c r="B689" t="s">
        <v>23</v>
      </c>
      <c r="C689">
        <v>86</v>
      </c>
      <c r="D689" t="s">
        <v>13</v>
      </c>
      <c r="E689" t="str">
        <f>IF(Churn_part[[#This Row],[Type_Forfait]]="Pro Monde", "B2B", "B2C")</f>
        <v>B2B</v>
      </c>
      <c r="F689">
        <v>353</v>
      </c>
      <c r="G689" s="8">
        <v>25.37</v>
      </c>
      <c r="H689">
        <v>1</v>
      </c>
      <c r="I68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89" s="8">
        <f>Churn_part[[#This Row],[Facture_Mensuelle]]*Churn_part[[#This Row],[Remise Client]]</f>
        <v>2.5370000000000004</v>
      </c>
    </row>
    <row r="690" spans="1:10" x14ac:dyDescent="0.3">
      <c r="A690" t="s">
        <v>726</v>
      </c>
      <c r="B690" t="s">
        <v>23</v>
      </c>
      <c r="C690">
        <v>99</v>
      </c>
      <c r="D690" t="s">
        <v>13</v>
      </c>
      <c r="E690" t="str">
        <f>IF(Churn_part[[#This Row],[Type_Forfait]]="Pro Monde", "B2B", "B2C")</f>
        <v>B2B</v>
      </c>
      <c r="F690">
        <v>169</v>
      </c>
      <c r="G690" s="8">
        <v>76.75</v>
      </c>
      <c r="H690">
        <v>5</v>
      </c>
      <c r="I69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90" s="8">
        <f>Churn_part[[#This Row],[Facture_Mensuelle]]*Churn_part[[#This Row],[Remise Client]]</f>
        <v>7.6750000000000007</v>
      </c>
    </row>
    <row r="691" spans="1:10" x14ac:dyDescent="0.3">
      <c r="A691" t="s">
        <v>727</v>
      </c>
      <c r="B691" t="s">
        <v>20</v>
      </c>
      <c r="C691">
        <v>72</v>
      </c>
      <c r="D691" t="s">
        <v>13</v>
      </c>
      <c r="E691" t="str">
        <f>IF(Churn_part[[#This Row],[Type_Forfait]]="Pro Monde", "B2B", "B2C")</f>
        <v>B2B</v>
      </c>
      <c r="F691">
        <v>442</v>
      </c>
      <c r="G691" s="8">
        <v>59.2</v>
      </c>
      <c r="H691">
        <v>1</v>
      </c>
      <c r="I69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91" s="8">
        <f>Churn_part[[#This Row],[Facture_Mensuelle]]*Churn_part[[#This Row],[Remise Client]]</f>
        <v>5.9200000000000008</v>
      </c>
    </row>
    <row r="692" spans="1:10" x14ac:dyDescent="0.3">
      <c r="A692" t="s">
        <v>728</v>
      </c>
      <c r="B692" t="s">
        <v>34</v>
      </c>
      <c r="C692">
        <v>20</v>
      </c>
      <c r="D692" t="s">
        <v>13</v>
      </c>
      <c r="E692" t="str">
        <f>IF(Churn_part[[#This Row],[Type_Forfait]]="Pro Monde", "B2B", "B2C")</f>
        <v>B2B</v>
      </c>
      <c r="F692">
        <v>31</v>
      </c>
      <c r="G692" s="8">
        <v>52.85</v>
      </c>
      <c r="H692">
        <v>2</v>
      </c>
      <c r="I69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92" s="8">
        <f>Churn_part[[#This Row],[Facture_Mensuelle]]*Churn_part[[#This Row],[Remise Client]]</f>
        <v>5.2850000000000001</v>
      </c>
    </row>
    <row r="693" spans="1:10" x14ac:dyDescent="0.3">
      <c r="A693" t="s">
        <v>729</v>
      </c>
      <c r="B693" t="s">
        <v>50</v>
      </c>
      <c r="C693">
        <v>12</v>
      </c>
      <c r="D693" t="s">
        <v>18</v>
      </c>
      <c r="E693" t="str">
        <f>IF(Churn_part[[#This Row],[Type_Forfait]]="Pro Monde", "B2B", "B2C")</f>
        <v>B2C</v>
      </c>
      <c r="F693">
        <v>62</v>
      </c>
      <c r="G693" s="8">
        <v>36.1</v>
      </c>
      <c r="H693">
        <v>5</v>
      </c>
      <c r="I69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693" s="8">
        <f>Churn_part[[#This Row],[Facture_Mensuelle]]*Churn_part[[#This Row],[Remise Client]]</f>
        <v>0</v>
      </c>
    </row>
    <row r="694" spans="1:10" x14ac:dyDescent="0.3">
      <c r="A694" t="s">
        <v>730</v>
      </c>
      <c r="B694" t="s">
        <v>63</v>
      </c>
      <c r="C694">
        <v>92</v>
      </c>
      <c r="D694" t="s">
        <v>18</v>
      </c>
      <c r="E694" t="str">
        <f>IF(Churn_part[[#This Row],[Type_Forfait]]="Pro Monde", "B2B", "B2C")</f>
        <v>B2C</v>
      </c>
      <c r="F694">
        <v>379</v>
      </c>
      <c r="G694" s="8">
        <v>70.08</v>
      </c>
      <c r="H694">
        <v>5</v>
      </c>
      <c r="I69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94" s="8">
        <f>Churn_part[[#This Row],[Facture_Mensuelle]]*Churn_part[[#This Row],[Remise Client]]</f>
        <v>31.536000000000001</v>
      </c>
    </row>
    <row r="695" spans="1:10" x14ac:dyDescent="0.3">
      <c r="A695" t="s">
        <v>731</v>
      </c>
      <c r="B695" t="s">
        <v>25</v>
      </c>
      <c r="C695">
        <v>35</v>
      </c>
      <c r="D695" t="s">
        <v>13</v>
      </c>
      <c r="E695" t="str">
        <f>IF(Churn_part[[#This Row],[Type_Forfait]]="Pro Monde", "B2B", "B2C")</f>
        <v>B2B</v>
      </c>
      <c r="F695">
        <v>299</v>
      </c>
      <c r="G695" s="8">
        <v>96.32</v>
      </c>
      <c r="H695">
        <v>4</v>
      </c>
      <c r="I69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695" s="8">
        <f>Churn_part[[#This Row],[Facture_Mensuelle]]*Churn_part[[#This Row],[Remise Client]]</f>
        <v>9.6319999999999997</v>
      </c>
    </row>
    <row r="696" spans="1:10" x14ac:dyDescent="0.3">
      <c r="A696" t="s">
        <v>732</v>
      </c>
      <c r="B696" t="s">
        <v>12</v>
      </c>
      <c r="C696">
        <v>19</v>
      </c>
      <c r="D696" t="s">
        <v>18</v>
      </c>
      <c r="E696" t="str">
        <f>IF(Churn_part[[#This Row],[Type_Forfait]]="Pro Monde", "B2B", "B2C")</f>
        <v>B2C</v>
      </c>
      <c r="F696">
        <v>345</v>
      </c>
      <c r="G696" s="8">
        <v>54.37</v>
      </c>
      <c r="H696">
        <v>2</v>
      </c>
      <c r="I69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96" s="8">
        <f>Churn_part[[#This Row],[Facture_Mensuelle]]*Churn_part[[#This Row],[Remise Client]]</f>
        <v>24.4665</v>
      </c>
    </row>
    <row r="697" spans="1:10" x14ac:dyDescent="0.3">
      <c r="A697" t="s">
        <v>733</v>
      </c>
      <c r="B697" t="s">
        <v>43</v>
      </c>
      <c r="C697">
        <v>94</v>
      </c>
      <c r="D697" t="s">
        <v>21</v>
      </c>
      <c r="E697" t="str">
        <f>IF(Churn_part[[#This Row],[Type_Forfait]]="Pro Monde", "B2B", "B2C")</f>
        <v>B2C</v>
      </c>
      <c r="F697">
        <v>261</v>
      </c>
      <c r="G697" s="8">
        <v>70.09</v>
      </c>
      <c r="H697">
        <v>3</v>
      </c>
      <c r="I69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97" s="8">
        <f>Churn_part[[#This Row],[Facture_Mensuelle]]*Churn_part[[#This Row],[Remise Client]]</f>
        <v>31.540500000000002</v>
      </c>
    </row>
    <row r="698" spans="1:10" x14ac:dyDescent="0.3">
      <c r="A698" t="s">
        <v>734</v>
      </c>
      <c r="B698" t="s">
        <v>125</v>
      </c>
      <c r="C698">
        <v>26</v>
      </c>
      <c r="D698" t="s">
        <v>10</v>
      </c>
      <c r="E698" t="str">
        <f>IF(Churn_part[[#This Row],[Type_Forfait]]="Pro Monde", "B2B", "B2C")</f>
        <v>B2C</v>
      </c>
      <c r="F698">
        <v>378</v>
      </c>
      <c r="G698" s="8">
        <v>45.21</v>
      </c>
      <c r="H698">
        <v>5</v>
      </c>
      <c r="I69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98" s="8">
        <f>Churn_part[[#This Row],[Facture_Mensuelle]]*Churn_part[[#This Row],[Remise Client]]</f>
        <v>20.3445</v>
      </c>
    </row>
    <row r="699" spans="1:10" x14ac:dyDescent="0.3">
      <c r="A699" t="s">
        <v>735</v>
      </c>
      <c r="B699" t="s">
        <v>12</v>
      </c>
      <c r="C699">
        <v>56</v>
      </c>
      <c r="D699" t="s">
        <v>21</v>
      </c>
      <c r="E699" t="str">
        <f>IF(Churn_part[[#This Row],[Type_Forfait]]="Pro Monde", "B2B", "B2C")</f>
        <v>B2C</v>
      </c>
      <c r="F699">
        <v>367</v>
      </c>
      <c r="G699" s="8">
        <v>72.790000000000006</v>
      </c>
      <c r="H699">
        <v>1</v>
      </c>
      <c r="I69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699" s="8">
        <f>Churn_part[[#This Row],[Facture_Mensuelle]]*Churn_part[[#This Row],[Remise Client]]</f>
        <v>32.755500000000005</v>
      </c>
    </row>
    <row r="700" spans="1:10" x14ac:dyDescent="0.3">
      <c r="A700" t="s">
        <v>736</v>
      </c>
      <c r="B700" t="s">
        <v>34</v>
      </c>
      <c r="C700">
        <v>97</v>
      </c>
      <c r="D700" t="s">
        <v>18</v>
      </c>
      <c r="E700" t="str">
        <f>IF(Churn_part[[#This Row],[Type_Forfait]]="Pro Monde", "B2B", "B2C")</f>
        <v>B2C</v>
      </c>
      <c r="F700">
        <v>173</v>
      </c>
      <c r="G700" s="8">
        <v>19.37</v>
      </c>
      <c r="H700">
        <v>5</v>
      </c>
      <c r="I70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00" s="8">
        <f>Churn_part[[#This Row],[Facture_Mensuelle]]*Churn_part[[#This Row],[Remise Client]]</f>
        <v>0</v>
      </c>
    </row>
    <row r="701" spans="1:10" x14ac:dyDescent="0.3">
      <c r="A701" t="s">
        <v>737</v>
      </c>
      <c r="B701" t="s">
        <v>129</v>
      </c>
      <c r="C701">
        <v>54</v>
      </c>
      <c r="D701" t="s">
        <v>21</v>
      </c>
      <c r="E701" t="str">
        <f>IF(Churn_part[[#This Row],[Type_Forfait]]="Pro Monde", "B2B", "B2C")</f>
        <v>B2C</v>
      </c>
      <c r="F701">
        <v>215</v>
      </c>
      <c r="G701" s="8">
        <v>54.69</v>
      </c>
      <c r="H701">
        <v>0</v>
      </c>
      <c r="I70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01" s="8">
        <f>Churn_part[[#This Row],[Facture_Mensuelle]]*Churn_part[[#This Row],[Remise Client]]</f>
        <v>0</v>
      </c>
    </row>
    <row r="702" spans="1:10" x14ac:dyDescent="0.3">
      <c r="A702" t="s">
        <v>738</v>
      </c>
      <c r="B702" t="s">
        <v>39</v>
      </c>
      <c r="C702">
        <v>119</v>
      </c>
      <c r="D702" t="s">
        <v>18</v>
      </c>
      <c r="E702" t="str">
        <f>IF(Churn_part[[#This Row],[Type_Forfait]]="Pro Monde", "B2B", "B2C")</f>
        <v>B2C</v>
      </c>
      <c r="F702">
        <v>133</v>
      </c>
      <c r="G702" s="8">
        <v>30.27</v>
      </c>
      <c r="H702">
        <v>5</v>
      </c>
      <c r="I70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02" s="8">
        <f>Churn_part[[#This Row],[Facture_Mensuelle]]*Churn_part[[#This Row],[Remise Client]]</f>
        <v>0</v>
      </c>
    </row>
    <row r="703" spans="1:10" x14ac:dyDescent="0.3">
      <c r="A703" t="s">
        <v>739</v>
      </c>
      <c r="B703" t="s">
        <v>15</v>
      </c>
      <c r="C703">
        <v>9</v>
      </c>
      <c r="D703" t="s">
        <v>21</v>
      </c>
      <c r="E703" t="str">
        <f>IF(Churn_part[[#This Row],[Type_Forfait]]="Pro Monde", "B2B", "B2C")</f>
        <v>B2C</v>
      </c>
      <c r="F703">
        <v>102</v>
      </c>
      <c r="G703" s="8">
        <v>41.52</v>
      </c>
      <c r="H703">
        <v>0</v>
      </c>
      <c r="I70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03" s="8">
        <f>Churn_part[[#This Row],[Facture_Mensuelle]]*Churn_part[[#This Row],[Remise Client]]</f>
        <v>0</v>
      </c>
    </row>
    <row r="704" spans="1:10" x14ac:dyDescent="0.3">
      <c r="A704" t="s">
        <v>740</v>
      </c>
      <c r="B704" t="s">
        <v>25</v>
      </c>
      <c r="C704">
        <v>8</v>
      </c>
      <c r="D704" t="s">
        <v>18</v>
      </c>
      <c r="E704" t="str">
        <f>IF(Churn_part[[#This Row],[Type_Forfait]]="Pro Monde", "B2B", "B2C")</f>
        <v>B2C</v>
      </c>
      <c r="F704">
        <v>171</v>
      </c>
      <c r="G704" s="8">
        <v>52.98</v>
      </c>
      <c r="H704">
        <v>0</v>
      </c>
      <c r="I70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04" s="8">
        <f>Churn_part[[#This Row],[Facture_Mensuelle]]*Churn_part[[#This Row],[Remise Client]]</f>
        <v>0</v>
      </c>
    </row>
    <row r="705" spans="1:10" x14ac:dyDescent="0.3">
      <c r="A705" t="s">
        <v>741</v>
      </c>
      <c r="B705" t="s">
        <v>129</v>
      </c>
      <c r="C705">
        <v>79</v>
      </c>
      <c r="D705" t="s">
        <v>10</v>
      </c>
      <c r="E705" t="str">
        <f>IF(Churn_part[[#This Row],[Type_Forfait]]="Pro Monde", "B2B", "B2C")</f>
        <v>B2C</v>
      </c>
      <c r="F705">
        <v>454</v>
      </c>
      <c r="G705" s="8">
        <v>80.34</v>
      </c>
      <c r="H705">
        <v>2</v>
      </c>
      <c r="I70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05" s="8">
        <f>Churn_part[[#This Row],[Facture_Mensuelle]]*Churn_part[[#This Row],[Remise Client]]</f>
        <v>36.153000000000006</v>
      </c>
    </row>
    <row r="706" spans="1:10" x14ac:dyDescent="0.3">
      <c r="A706" t="s">
        <v>742</v>
      </c>
      <c r="B706" t="s">
        <v>25</v>
      </c>
      <c r="C706">
        <v>33</v>
      </c>
      <c r="D706" t="s">
        <v>13</v>
      </c>
      <c r="E706" t="str">
        <f>IF(Churn_part[[#This Row],[Type_Forfait]]="Pro Monde", "B2B", "B2C")</f>
        <v>B2B</v>
      </c>
      <c r="F706">
        <v>391</v>
      </c>
      <c r="G706" s="8">
        <v>88.88</v>
      </c>
      <c r="H706">
        <v>4</v>
      </c>
      <c r="I70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706" s="8">
        <f>Churn_part[[#This Row],[Facture_Mensuelle]]*Churn_part[[#This Row],[Remise Client]]</f>
        <v>8.8879999999999999</v>
      </c>
    </row>
    <row r="707" spans="1:10" x14ac:dyDescent="0.3">
      <c r="A707" t="s">
        <v>743</v>
      </c>
      <c r="B707" t="s">
        <v>30</v>
      </c>
      <c r="C707">
        <v>15</v>
      </c>
      <c r="D707" t="s">
        <v>18</v>
      </c>
      <c r="E707" t="str">
        <f>IF(Churn_part[[#This Row],[Type_Forfait]]="Pro Monde", "B2B", "B2C")</f>
        <v>B2C</v>
      </c>
      <c r="F707">
        <v>30</v>
      </c>
      <c r="G707" s="8">
        <v>30.5</v>
      </c>
      <c r="H707">
        <v>1</v>
      </c>
      <c r="I70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07" s="8">
        <f>Churn_part[[#This Row],[Facture_Mensuelle]]*Churn_part[[#This Row],[Remise Client]]</f>
        <v>0</v>
      </c>
    </row>
    <row r="708" spans="1:10" x14ac:dyDescent="0.3">
      <c r="A708" t="s">
        <v>744</v>
      </c>
      <c r="B708" t="s">
        <v>12</v>
      </c>
      <c r="C708">
        <v>5</v>
      </c>
      <c r="D708" t="s">
        <v>10</v>
      </c>
      <c r="E708" t="str">
        <f>IF(Churn_part[[#This Row],[Type_Forfait]]="Pro Monde", "B2B", "B2C")</f>
        <v>B2C</v>
      </c>
      <c r="F708">
        <v>71</v>
      </c>
      <c r="G708" s="8">
        <v>93.81</v>
      </c>
      <c r="H708">
        <v>3</v>
      </c>
      <c r="I70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08" s="8">
        <f>Churn_part[[#This Row],[Facture_Mensuelle]]*Churn_part[[#This Row],[Remise Client]]</f>
        <v>0</v>
      </c>
    </row>
    <row r="709" spans="1:10" x14ac:dyDescent="0.3">
      <c r="A709" t="s">
        <v>745</v>
      </c>
      <c r="B709" t="s">
        <v>28</v>
      </c>
      <c r="C709">
        <v>109</v>
      </c>
      <c r="D709" t="s">
        <v>21</v>
      </c>
      <c r="E709" t="str">
        <f>IF(Churn_part[[#This Row],[Type_Forfait]]="Pro Monde", "B2B", "B2C")</f>
        <v>B2C</v>
      </c>
      <c r="F709">
        <v>104</v>
      </c>
      <c r="G709" s="8">
        <v>12.37</v>
      </c>
      <c r="H709">
        <v>5</v>
      </c>
      <c r="I70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09" s="8">
        <f>Churn_part[[#This Row],[Facture_Mensuelle]]*Churn_part[[#This Row],[Remise Client]]</f>
        <v>0</v>
      </c>
    </row>
    <row r="710" spans="1:10" x14ac:dyDescent="0.3">
      <c r="A710" t="s">
        <v>746</v>
      </c>
      <c r="B710" t="s">
        <v>87</v>
      </c>
      <c r="C710">
        <v>96</v>
      </c>
      <c r="D710" t="s">
        <v>13</v>
      </c>
      <c r="E710" t="str">
        <f>IF(Churn_part[[#This Row],[Type_Forfait]]="Pro Monde", "B2B", "B2C")</f>
        <v>B2B</v>
      </c>
      <c r="F710">
        <v>280</v>
      </c>
      <c r="G710" s="8">
        <v>80.36</v>
      </c>
      <c r="H710">
        <v>5</v>
      </c>
      <c r="I71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710" s="8">
        <f>Churn_part[[#This Row],[Facture_Mensuelle]]*Churn_part[[#This Row],[Remise Client]]</f>
        <v>8.0359999999999996</v>
      </c>
    </row>
    <row r="711" spans="1:10" x14ac:dyDescent="0.3">
      <c r="A711" t="s">
        <v>747</v>
      </c>
      <c r="B711" t="s">
        <v>36</v>
      </c>
      <c r="C711">
        <v>10</v>
      </c>
      <c r="D711" t="s">
        <v>21</v>
      </c>
      <c r="E711" t="str">
        <f>IF(Churn_part[[#This Row],[Type_Forfait]]="Pro Monde", "B2B", "B2C")</f>
        <v>B2C</v>
      </c>
      <c r="F711">
        <v>418</v>
      </c>
      <c r="G711" s="8">
        <v>27.66</v>
      </c>
      <c r="H711">
        <v>2</v>
      </c>
      <c r="I71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11" s="8">
        <f>Churn_part[[#This Row],[Facture_Mensuelle]]*Churn_part[[#This Row],[Remise Client]]</f>
        <v>12.447000000000001</v>
      </c>
    </row>
    <row r="712" spans="1:10" x14ac:dyDescent="0.3">
      <c r="A712" t="s">
        <v>748</v>
      </c>
      <c r="B712" t="s">
        <v>72</v>
      </c>
      <c r="C712">
        <v>57</v>
      </c>
      <c r="D712" t="s">
        <v>21</v>
      </c>
      <c r="E712" t="str">
        <f>IF(Churn_part[[#This Row],[Type_Forfait]]="Pro Monde", "B2B", "B2C")</f>
        <v>B2C</v>
      </c>
      <c r="F712">
        <v>375</v>
      </c>
      <c r="G712" s="8">
        <v>64.73</v>
      </c>
      <c r="H712">
        <v>1</v>
      </c>
      <c r="I71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12" s="8">
        <f>Churn_part[[#This Row],[Facture_Mensuelle]]*Churn_part[[#This Row],[Remise Client]]</f>
        <v>29.128500000000003</v>
      </c>
    </row>
    <row r="713" spans="1:10" x14ac:dyDescent="0.3">
      <c r="A713" t="s">
        <v>749</v>
      </c>
      <c r="B713" t="s">
        <v>135</v>
      </c>
      <c r="C713">
        <v>98</v>
      </c>
      <c r="D713" t="s">
        <v>13</v>
      </c>
      <c r="E713" t="str">
        <f>IF(Churn_part[[#This Row],[Type_Forfait]]="Pro Monde", "B2B", "B2C")</f>
        <v>B2B</v>
      </c>
      <c r="F713">
        <v>168</v>
      </c>
      <c r="G713" s="8">
        <v>44.14</v>
      </c>
      <c r="H713">
        <v>3</v>
      </c>
      <c r="I71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713" s="8">
        <f>Churn_part[[#This Row],[Facture_Mensuelle]]*Churn_part[[#This Row],[Remise Client]]</f>
        <v>4.4140000000000006</v>
      </c>
    </row>
    <row r="714" spans="1:10" x14ac:dyDescent="0.3">
      <c r="A714" t="s">
        <v>750</v>
      </c>
      <c r="B714" t="s">
        <v>12</v>
      </c>
      <c r="C714">
        <v>48</v>
      </c>
      <c r="D714" t="s">
        <v>10</v>
      </c>
      <c r="E714" t="str">
        <f>IF(Churn_part[[#This Row],[Type_Forfait]]="Pro Monde", "B2B", "B2C")</f>
        <v>B2C</v>
      </c>
      <c r="F714">
        <v>473</v>
      </c>
      <c r="G714" s="8">
        <v>71.52</v>
      </c>
      <c r="H714">
        <v>5</v>
      </c>
      <c r="I71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14" s="8">
        <f>Churn_part[[#This Row],[Facture_Mensuelle]]*Churn_part[[#This Row],[Remise Client]]</f>
        <v>32.183999999999997</v>
      </c>
    </row>
    <row r="715" spans="1:10" x14ac:dyDescent="0.3">
      <c r="A715" t="s">
        <v>751</v>
      </c>
      <c r="B715" t="s">
        <v>72</v>
      </c>
      <c r="C715">
        <v>78</v>
      </c>
      <c r="D715" t="s">
        <v>10</v>
      </c>
      <c r="E715" t="str">
        <f>IF(Churn_part[[#This Row],[Type_Forfait]]="Pro Monde", "B2B", "B2C")</f>
        <v>B2C</v>
      </c>
      <c r="F715">
        <v>387</v>
      </c>
      <c r="G715" s="8">
        <v>11.63</v>
      </c>
      <c r="H715">
        <v>2</v>
      </c>
      <c r="I71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15" s="8">
        <f>Churn_part[[#This Row],[Facture_Mensuelle]]*Churn_part[[#This Row],[Remise Client]]</f>
        <v>5.2335000000000003</v>
      </c>
    </row>
    <row r="716" spans="1:10" x14ac:dyDescent="0.3">
      <c r="A716" t="s">
        <v>752</v>
      </c>
      <c r="B716" t="s">
        <v>66</v>
      </c>
      <c r="C716">
        <v>81</v>
      </c>
      <c r="D716" t="s">
        <v>21</v>
      </c>
      <c r="E716" t="str">
        <f>IF(Churn_part[[#This Row],[Type_Forfait]]="Pro Monde", "B2B", "B2C")</f>
        <v>B2C</v>
      </c>
      <c r="F716">
        <v>339</v>
      </c>
      <c r="G716" s="8">
        <v>53.4</v>
      </c>
      <c r="H716">
        <v>2</v>
      </c>
      <c r="I71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16" s="8">
        <f>Churn_part[[#This Row],[Facture_Mensuelle]]*Churn_part[[#This Row],[Remise Client]]</f>
        <v>24.03</v>
      </c>
    </row>
    <row r="717" spans="1:10" x14ac:dyDescent="0.3">
      <c r="A717" t="s">
        <v>753</v>
      </c>
      <c r="B717" t="s">
        <v>43</v>
      </c>
      <c r="C717">
        <v>108</v>
      </c>
      <c r="D717" t="s">
        <v>18</v>
      </c>
      <c r="E717" t="str">
        <f>IF(Churn_part[[#This Row],[Type_Forfait]]="Pro Monde", "B2B", "B2C")</f>
        <v>B2C</v>
      </c>
      <c r="F717">
        <v>467</v>
      </c>
      <c r="G717" s="8">
        <v>44.84</v>
      </c>
      <c r="H717">
        <v>4</v>
      </c>
      <c r="I71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17" s="8">
        <f>Churn_part[[#This Row],[Facture_Mensuelle]]*Churn_part[[#This Row],[Remise Client]]</f>
        <v>20.178000000000001</v>
      </c>
    </row>
    <row r="718" spans="1:10" x14ac:dyDescent="0.3">
      <c r="A718" t="s">
        <v>754</v>
      </c>
      <c r="B718" t="s">
        <v>36</v>
      </c>
      <c r="C718">
        <v>4</v>
      </c>
      <c r="D718" t="s">
        <v>13</v>
      </c>
      <c r="E718" t="str">
        <f>IF(Churn_part[[#This Row],[Type_Forfait]]="Pro Monde", "B2B", "B2C")</f>
        <v>B2B</v>
      </c>
      <c r="F718">
        <v>449</v>
      </c>
      <c r="G718" s="8">
        <v>43.95</v>
      </c>
      <c r="H718">
        <v>2</v>
      </c>
      <c r="I71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718" s="8">
        <f>Churn_part[[#This Row],[Facture_Mensuelle]]*Churn_part[[#This Row],[Remise Client]]</f>
        <v>4.3950000000000005</v>
      </c>
    </row>
    <row r="719" spans="1:10" x14ac:dyDescent="0.3">
      <c r="A719" t="s">
        <v>755</v>
      </c>
      <c r="B719" t="s">
        <v>77</v>
      </c>
      <c r="C719">
        <v>119</v>
      </c>
      <c r="D719" t="s">
        <v>13</v>
      </c>
      <c r="E719" t="str">
        <f>IF(Churn_part[[#This Row],[Type_Forfait]]="Pro Monde", "B2B", "B2C")</f>
        <v>B2B</v>
      </c>
      <c r="F719">
        <v>31</v>
      </c>
      <c r="G719" s="8">
        <v>21.27</v>
      </c>
      <c r="H719">
        <v>5</v>
      </c>
      <c r="I71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719" s="8">
        <f>Churn_part[[#This Row],[Facture_Mensuelle]]*Churn_part[[#This Row],[Remise Client]]</f>
        <v>2.1270000000000002</v>
      </c>
    </row>
    <row r="720" spans="1:10" x14ac:dyDescent="0.3">
      <c r="A720" t="s">
        <v>756</v>
      </c>
      <c r="B720" t="s">
        <v>87</v>
      </c>
      <c r="C720">
        <v>23</v>
      </c>
      <c r="D720" t="s">
        <v>13</v>
      </c>
      <c r="E720" t="str">
        <f>IF(Churn_part[[#This Row],[Type_Forfait]]="Pro Monde", "B2B", "B2C")</f>
        <v>B2B</v>
      </c>
      <c r="F720">
        <v>120</v>
      </c>
      <c r="G720" s="8">
        <v>73.12</v>
      </c>
      <c r="H720">
        <v>1</v>
      </c>
      <c r="I72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720" s="8">
        <f>Churn_part[[#This Row],[Facture_Mensuelle]]*Churn_part[[#This Row],[Remise Client]]</f>
        <v>7.3120000000000012</v>
      </c>
    </row>
    <row r="721" spans="1:10" x14ac:dyDescent="0.3">
      <c r="A721" t="s">
        <v>757</v>
      </c>
      <c r="B721" t="s">
        <v>87</v>
      </c>
      <c r="C721">
        <v>42</v>
      </c>
      <c r="D721" t="s">
        <v>18</v>
      </c>
      <c r="E721" t="str">
        <f>IF(Churn_part[[#This Row],[Type_Forfait]]="Pro Monde", "B2B", "B2C")</f>
        <v>B2C</v>
      </c>
      <c r="F721">
        <v>252</v>
      </c>
      <c r="G721" s="8">
        <v>59.46</v>
      </c>
      <c r="H721">
        <v>4</v>
      </c>
      <c r="I72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21" s="8">
        <f>Churn_part[[#This Row],[Facture_Mensuelle]]*Churn_part[[#This Row],[Remise Client]]</f>
        <v>26.757000000000001</v>
      </c>
    </row>
    <row r="722" spans="1:10" x14ac:dyDescent="0.3">
      <c r="A722" t="s">
        <v>758</v>
      </c>
      <c r="B722" t="s">
        <v>20</v>
      </c>
      <c r="C722">
        <v>14</v>
      </c>
      <c r="D722" t="s">
        <v>18</v>
      </c>
      <c r="E722" t="str">
        <f>IF(Churn_part[[#This Row],[Type_Forfait]]="Pro Monde", "B2B", "B2C")</f>
        <v>B2C</v>
      </c>
      <c r="F722">
        <v>37</v>
      </c>
      <c r="G722" s="8">
        <v>20.399999999999999</v>
      </c>
      <c r="H722">
        <v>2</v>
      </c>
      <c r="I72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22" s="8">
        <f>Churn_part[[#This Row],[Facture_Mensuelle]]*Churn_part[[#This Row],[Remise Client]]</f>
        <v>0</v>
      </c>
    </row>
    <row r="723" spans="1:10" x14ac:dyDescent="0.3">
      <c r="A723" t="s">
        <v>759</v>
      </c>
      <c r="B723" t="s">
        <v>87</v>
      </c>
      <c r="C723">
        <v>90</v>
      </c>
      <c r="D723" t="s">
        <v>21</v>
      </c>
      <c r="E723" t="str">
        <f>IF(Churn_part[[#This Row],[Type_Forfait]]="Pro Monde", "B2B", "B2C")</f>
        <v>B2C</v>
      </c>
      <c r="F723">
        <v>412</v>
      </c>
      <c r="G723" s="8">
        <v>20.62</v>
      </c>
      <c r="H723">
        <v>2</v>
      </c>
      <c r="I72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23" s="8">
        <f>Churn_part[[#This Row],[Facture_Mensuelle]]*Churn_part[[#This Row],[Remise Client]]</f>
        <v>9.2789999999999999</v>
      </c>
    </row>
    <row r="724" spans="1:10" x14ac:dyDescent="0.3">
      <c r="A724" t="s">
        <v>760</v>
      </c>
      <c r="B724" t="s">
        <v>30</v>
      </c>
      <c r="C724">
        <v>58</v>
      </c>
      <c r="D724" t="s">
        <v>10</v>
      </c>
      <c r="E724" t="str">
        <f>IF(Churn_part[[#This Row],[Type_Forfait]]="Pro Monde", "B2B", "B2C")</f>
        <v>B2C</v>
      </c>
      <c r="F724">
        <v>485</v>
      </c>
      <c r="G724" s="8">
        <v>65.41</v>
      </c>
      <c r="H724">
        <v>5</v>
      </c>
      <c r="I72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24" s="8">
        <f>Churn_part[[#This Row],[Facture_Mensuelle]]*Churn_part[[#This Row],[Remise Client]]</f>
        <v>29.4345</v>
      </c>
    </row>
    <row r="725" spans="1:10" x14ac:dyDescent="0.3">
      <c r="A725" t="s">
        <v>761</v>
      </c>
      <c r="B725" t="s">
        <v>129</v>
      </c>
      <c r="C725">
        <v>49</v>
      </c>
      <c r="D725" t="s">
        <v>18</v>
      </c>
      <c r="E725" t="str">
        <f>IF(Churn_part[[#This Row],[Type_Forfait]]="Pro Monde", "B2B", "B2C")</f>
        <v>B2C</v>
      </c>
      <c r="F725">
        <v>288</v>
      </c>
      <c r="G725" s="8">
        <v>91.32</v>
      </c>
      <c r="H725">
        <v>4</v>
      </c>
      <c r="I72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25" s="8">
        <f>Churn_part[[#This Row],[Facture_Mensuelle]]*Churn_part[[#This Row],[Remise Client]]</f>
        <v>41.094000000000001</v>
      </c>
    </row>
    <row r="726" spans="1:10" x14ac:dyDescent="0.3">
      <c r="A726" t="s">
        <v>762</v>
      </c>
      <c r="B726" t="s">
        <v>39</v>
      </c>
      <c r="C726">
        <v>18</v>
      </c>
      <c r="D726" t="s">
        <v>18</v>
      </c>
      <c r="E726" t="str">
        <f>IF(Churn_part[[#This Row],[Type_Forfait]]="Pro Monde", "B2B", "B2C")</f>
        <v>B2C</v>
      </c>
      <c r="F726">
        <v>463</v>
      </c>
      <c r="G726" s="8">
        <v>41.66</v>
      </c>
      <c r="H726">
        <v>4</v>
      </c>
      <c r="I72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26" s="8">
        <f>Churn_part[[#This Row],[Facture_Mensuelle]]*Churn_part[[#This Row],[Remise Client]]</f>
        <v>18.747</v>
      </c>
    </row>
    <row r="727" spans="1:10" x14ac:dyDescent="0.3">
      <c r="A727" t="s">
        <v>763</v>
      </c>
      <c r="B727" t="s">
        <v>61</v>
      </c>
      <c r="C727">
        <v>82</v>
      </c>
      <c r="D727" t="s">
        <v>13</v>
      </c>
      <c r="E727" t="str">
        <f>IF(Churn_part[[#This Row],[Type_Forfait]]="Pro Monde", "B2B", "B2C")</f>
        <v>B2B</v>
      </c>
      <c r="F727">
        <v>312</v>
      </c>
      <c r="G727" s="8">
        <v>40.880000000000003</v>
      </c>
      <c r="H727">
        <v>0</v>
      </c>
      <c r="I72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727" s="8">
        <f>Churn_part[[#This Row],[Facture_Mensuelle]]*Churn_part[[#This Row],[Remise Client]]</f>
        <v>4.0880000000000001</v>
      </c>
    </row>
    <row r="728" spans="1:10" x14ac:dyDescent="0.3">
      <c r="A728" t="s">
        <v>764</v>
      </c>
      <c r="B728" t="s">
        <v>63</v>
      </c>
      <c r="C728">
        <v>74</v>
      </c>
      <c r="D728" t="s">
        <v>21</v>
      </c>
      <c r="E728" t="str">
        <f>IF(Churn_part[[#This Row],[Type_Forfait]]="Pro Monde", "B2B", "B2C")</f>
        <v>B2C</v>
      </c>
      <c r="F728">
        <v>359</v>
      </c>
      <c r="G728" s="8">
        <v>92.63</v>
      </c>
      <c r="H728">
        <v>0</v>
      </c>
      <c r="I72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28" s="8">
        <f>Churn_part[[#This Row],[Facture_Mensuelle]]*Churn_part[[#This Row],[Remise Client]]</f>
        <v>41.683500000000002</v>
      </c>
    </row>
    <row r="729" spans="1:10" x14ac:dyDescent="0.3">
      <c r="A729" t="s">
        <v>765</v>
      </c>
      <c r="B729" t="s">
        <v>17</v>
      </c>
      <c r="C729">
        <v>72</v>
      </c>
      <c r="D729" t="s">
        <v>18</v>
      </c>
      <c r="E729" t="str">
        <f>IF(Churn_part[[#This Row],[Type_Forfait]]="Pro Monde", "B2B", "B2C")</f>
        <v>B2C</v>
      </c>
      <c r="F729">
        <v>427</v>
      </c>
      <c r="G729" s="8">
        <v>31.44</v>
      </c>
      <c r="H729">
        <v>2</v>
      </c>
      <c r="I72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29" s="8">
        <f>Churn_part[[#This Row],[Facture_Mensuelle]]*Churn_part[[#This Row],[Remise Client]]</f>
        <v>14.148000000000001</v>
      </c>
    </row>
    <row r="730" spans="1:10" x14ac:dyDescent="0.3">
      <c r="A730" t="s">
        <v>766</v>
      </c>
      <c r="B730" t="s">
        <v>28</v>
      </c>
      <c r="C730">
        <v>26</v>
      </c>
      <c r="D730" t="s">
        <v>10</v>
      </c>
      <c r="E730" t="str">
        <f>IF(Churn_part[[#This Row],[Type_Forfait]]="Pro Monde", "B2B", "B2C")</f>
        <v>B2C</v>
      </c>
      <c r="F730">
        <v>391</v>
      </c>
      <c r="G730" s="8">
        <v>18.28</v>
      </c>
      <c r="H730">
        <v>3</v>
      </c>
      <c r="I73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30" s="8">
        <f>Churn_part[[#This Row],[Facture_Mensuelle]]*Churn_part[[#This Row],[Remise Client]]</f>
        <v>8.2260000000000009</v>
      </c>
    </row>
    <row r="731" spans="1:10" x14ac:dyDescent="0.3">
      <c r="A731" t="s">
        <v>767</v>
      </c>
      <c r="B731" t="s">
        <v>56</v>
      </c>
      <c r="C731">
        <v>26</v>
      </c>
      <c r="D731" t="s">
        <v>18</v>
      </c>
      <c r="E731" t="str">
        <f>IF(Churn_part[[#This Row],[Type_Forfait]]="Pro Monde", "B2B", "B2C")</f>
        <v>B2C</v>
      </c>
      <c r="F731">
        <v>413</v>
      </c>
      <c r="G731" s="8">
        <v>10.9</v>
      </c>
      <c r="H731">
        <v>5</v>
      </c>
      <c r="I73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31" s="8">
        <f>Churn_part[[#This Row],[Facture_Mensuelle]]*Churn_part[[#This Row],[Remise Client]]</f>
        <v>4.9050000000000002</v>
      </c>
    </row>
    <row r="732" spans="1:10" x14ac:dyDescent="0.3">
      <c r="A732" t="s">
        <v>768</v>
      </c>
      <c r="B732" t="s">
        <v>50</v>
      </c>
      <c r="C732">
        <v>33</v>
      </c>
      <c r="D732" t="s">
        <v>21</v>
      </c>
      <c r="E732" t="str">
        <f>IF(Churn_part[[#This Row],[Type_Forfait]]="Pro Monde", "B2B", "B2C")</f>
        <v>B2C</v>
      </c>
      <c r="F732">
        <v>18</v>
      </c>
      <c r="G732" s="8">
        <v>47.18</v>
      </c>
      <c r="H732">
        <v>4</v>
      </c>
      <c r="I73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32" s="8">
        <f>Churn_part[[#This Row],[Facture_Mensuelle]]*Churn_part[[#This Row],[Remise Client]]</f>
        <v>0</v>
      </c>
    </row>
    <row r="733" spans="1:10" x14ac:dyDescent="0.3">
      <c r="A733" t="s">
        <v>769</v>
      </c>
      <c r="B733" t="s">
        <v>12</v>
      </c>
      <c r="C733">
        <v>63</v>
      </c>
      <c r="D733" t="s">
        <v>10</v>
      </c>
      <c r="E733" t="str">
        <f>IF(Churn_part[[#This Row],[Type_Forfait]]="Pro Monde", "B2B", "B2C")</f>
        <v>B2C</v>
      </c>
      <c r="F733">
        <v>177</v>
      </c>
      <c r="G733" s="8">
        <v>77.73</v>
      </c>
      <c r="H733">
        <v>3</v>
      </c>
      <c r="I73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33" s="8">
        <f>Churn_part[[#This Row],[Facture_Mensuelle]]*Churn_part[[#This Row],[Remise Client]]</f>
        <v>0</v>
      </c>
    </row>
    <row r="734" spans="1:10" x14ac:dyDescent="0.3">
      <c r="A734" t="s">
        <v>770</v>
      </c>
      <c r="B734" t="s">
        <v>50</v>
      </c>
      <c r="C734">
        <v>57</v>
      </c>
      <c r="D734" t="s">
        <v>10</v>
      </c>
      <c r="E734" t="str">
        <f>IF(Churn_part[[#This Row],[Type_Forfait]]="Pro Monde", "B2B", "B2C")</f>
        <v>B2C</v>
      </c>
      <c r="F734">
        <v>36</v>
      </c>
      <c r="G734" s="8">
        <v>82.7</v>
      </c>
      <c r="H734">
        <v>2</v>
      </c>
      <c r="I73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34" s="8">
        <f>Churn_part[[#This Row],[Facture_Mensuelle]]*Churn_part[[#This Row],[Remise Client]]</f>
        <v>0</v>
      </c>
    </row>
    <row r="735" spans="1:10" x14ac:dyDescent="0.3">
      <c r="A735" t="s">
        <v>771</v>
      </c>
      <c r="B735" t="s">
        <v>25</v>
      </c>
      <c r="C735">
        <v>87</v>
      </c>
      <c r="D735" t="s">
        <v>13</v>
      </c>
      <c r="E735" t="str">
        <f>IF(Churn_part[[#This Row],[Type_Forfait]]="Pro Monde", "B2B", "B2C")</f>
        <v>B2B</v>
      </c>
      <c r="F735">
        <v>486</v>
      </c>
      <c r="G735" s="8">
        <v>58.26</v>
      </c>
      <c r="H735">
        <v>0</v>
      </c>
      <c r="I73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735" s="8">
        <f>Churn_part[[#This Row],[Facture_Mensuelle]]*Churn_part[[#This Row],[Remise Client]]</f>
        <v>5.8260000000000005</v>
      </c>
    </row>
    <row r="736" spans="1:10" x14ac:dyDescent="0.3">
      <c r="A736" t="s">
        <v>772</v>
      </c>
      <c r="B736" t="s">
        <v>12</v>
      </c>
      <c r="C736">
        <v>37</v>
      </c>
      <c r="D736" t="s">
        <v>10</v>
      </c>
      <c r="E736" t="str">
        <f>IF(Churn_part[[#This Row],[Type_Forfait]]="Pro Monde", "B2B", "B2C")</f>
        <v>B2C</v>
      </c>
      <c r="F736">
        <v>213</v>
      </c>
      <c r="G736" s="8">
        <v>14.12</v>
      </c>
      <c r="H736">
        <v>1</v>
      </c>
      <c r="I73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36" s="8">
        <f>Churn_part[[#This Row],[Facture_Mensuelle]]*Churn_part[[#This Row],[Remise Client]]</f>
        <v>0</v>
      </c>
    </row>
    <row r="737" spans="1:10" x14ac:dyDescent="0.3">
      <c r="A737" t="s">
        <v>773</v>
      </c>
      <c r="B737" t="s">
        <v>25</v>
      </c>
      <c r="C737">
        <v>29</v>
      </c>
      <c r="D737" t="s">
        <v>18</v>
      </c>
      <c r="E737" t="str">
        <f>IF(Churn_part[[#This Row],[Type_Forfait]]="Pro Monde", "B2B", "B2C")</f>
        <v>B2C</v>
      </c>
      <c r="F737">
        <v>306</v>
      </c>
      <c r="G737" s="8">
        <v>82.16</v>
      </c>
      <c r="H737">
        <v>1</v>
      </c>
      <c r="I73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37" s="8">
        <f>Churn_part[[#This Row],[Facture_Mensuelle]]*Churn_part[[#This Row],[Remise Client]]</f>
        <v>36.972000000000001</v>
      </c>
    </row>
    <row r="738" spans="1:10" x14ac:dyDescent="0.3">
      <c r="A738" t="s">
        <v>774</v>
      </c>
      <c r="B738" t="s">
        <v>77</v>
      </c>
      <c r="C738">
        <v>26</v>
      </c>
      <c r="D738" t="s">
        <v>21</v>
      </c>
      <c r="E738" t="str">
        <f>IF(Churn_part[[#This Row],[Type_Forfait]]="Pro Monde", "B2B", "B2C")</f>
        <v>B2C</v>
      </c>
      <c r="F738">
        <v>378</v>
      </c>
      <c r="G738" s="8">
        <v>88.59</v>
      </c>
      <c r="H738">
        <v>4</v>
      </c>
      <c r="I73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38" s="8">
        <f>Churn_part[[#This Row],[Facture_Mensuelle]]*Churn_part[[#This Row],[Remise Client]]</f>
        <v>39.865500000000004</v>
      </c>
    </row>
    <row r="739" spans="1:10" x14ac:dyDescent="0.3">
      <c r="A739" t="s">
        <v>775</v>
      </c>
      <c r="B739" t="s">
        <v>135</v>
      </c>
      <c r="C739">
        <v>95</v>
      </c>
      <c r="D739" t="s">
        <v>10</v>
      </c>
      <c r="E739" t="str">
        <f>IF(Churn_part[[#This Row],[Type_Forfait]]="Pro Monde", "B2B", "B2C")</f>
        <v>B2C</v>
      </c>
      <c r="F739">
        <v>313</v>
      </c>
      <c r="G739" s="8">
        <v>32.49</v>
      </c>
      <c r="H739">
        <v>1</v>
      </c>
      <c r="I73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39" s="8">
        <f>Churn_part[[#This Row],[Facture_Mensuelle]]*Churn_part[[#This Row],[Remise Client]]</f>
        <v>14.620500000000002</v>
      </c>
    </row>
    <row r="740" spans="1:10" x14ac:dyDescent="0.3">
      <c r="A740" t="s">
        <v>776</v>
      </c>
      <c r="B740" t="s">
        <v>56</v>
      </c>
      <c r="C740">
        <v>21</v>
      </c>
      <c r="D740" t="s">
        <v>18</v>
      </c>
      <c r="E740" t="str">
        <f>IF(Churn_part[[#This Row],[Type_Forfait]]="Pro Monde", "B2B", "B2C")</f>
        <v>B2C</v>
      </c>
      <c r="F740">
        <v>475</v>
      </c>
      <c r="G740" s="8">
        <v>15.12</v>
      </c>
      <c r="H740">
        <v>2</v>
      </c>
      <c r="I740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40" s="8">
        <f>Churn_part[[#This Row],[Facture_Mensuelle]]*Churn_part[[#This Row],[Remise Client]]</f>
        <v>6.8039999999999994</v>
      </c>
    </row>
    <row r="741" spans="1:10" x14ac:dyDescent="0.3">
      <c r="A741" t="s">
        <v>777</v>
      </c>
      <c r="B741" t="s">
        <v>135</v>
      </c>
      <c r="C741">
        <v>56</v>
      </c>
      <c r="D741" t="s">
        <v>21</v>
      </c>
      <c r="E741" t="str">
        <f>IF(Churn_part[[#This Row],[Type_Forfait]]="Pro Monde", "B2B", "B2C")</f>
        <v>B2C</v>
      </c>
      <c r="F741">
        <v>41</v>
      </c>
      <c r="G741" s="8">
        <v>15.1</v>
      </c>
      <c r="H741">
        <v>5</v>
      </c>
      <c r="I741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41" s="8">
        <f>Churn_part[[#This Row],[Facture_Mensuelle]]*Churn_part[[#This Row],[Remise Client]]</f>
        <v>0</v>
      </c>
    </row>
    <row r="742" spans="1:10" x14ac:dyDescent="0.3">
      <c r="A742" t="s">
        <v>778</v>
      </c>
      <c r="B742" t="s">
        <v>23</v>
      </c>
      <c r="C742">
        <v>105</v>
      </c>
      <c r="D742" t="s">
        <v>10</v>
      </c>
      <c r="E742" t="str">
        <f>IF(Churn_part[[#This Row],[Type_Forfait]]="Pro Monde", "B2B", "B2C")</f>
        <v>B2C</v>
      </c>
      <c r="F742">
        <v>454</v>
      </c>
      <c r="G742" s="8">
        <v>49.47</v>
      </c>
      <c r="H742">
        <v>4</v>
      </c>
      <c r="I742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42" s="8">
        <f>Churn_part[[#This Row],[Facture_Mensuelle]]*Churn_part[[#This Row],[Remise Client]]</f>
        <v>22.261500000000002</v>
      </c>
    </row>
    <row r="743" spans="1:10" x14ac:dyDescent="0.3">
      <c r="A743" t="s">
        <v>779</v>
      </c>
      <c r="B743" t="s">
        <v>17</v>
      </c>
      <c r="C743">
        <v>68</v>
      </c>
      <c r="D743" t="s">
        <v>13</v>
      </c>
      <c r="E743" t="str">
        <f>IF(Churn_part[[#This Row],[Type_Forfait]]="Pro Monde", "B2B", "B2C")</f>
        <v>B2B</v>
      </c>
      <c r="F743">
        <v>282</v>
      </c>
      <c r="G743" s="8">
        <v>35.43</v>
      </c>
      <c r="H743">
        <v>1</v>
      </c>
      <c r="I743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743" s="8">
        <f>Churn_part[[#This Row],[Facture_Mensuelle]]*Churn_part[[#This Row],[Remise Client]]</f>
        <v>3.5430000000000001</v>
      </c>
    </row>
    <row r="744" spans="1:10" x14ac:dyDescent="0.3">
      <c r="A744" t="s">
        <v>780</v>
      </c>
      <c r="B744" t="s">
        <v>23</v>
      </c>
      <c r="C744">
        <v>104</v>
      </c>
      <c r="D744" t="s">
        <v>18</v>
      </c>
      <c r="E744" t="str">
        <f>IF(Churn_part[[#This Row],[Type_Forfait]]="Pro Monde", "B2B", "B2C")</f>
        <v>B2C</v>
      </c>
      <c r="F744">
        <v>245</v>
      </c>
      <c r="G744" s="8">
        <v>38.270000000000003</v>
      </c>
      <c r="H744">
        <v>0</v>
      </c>
      <c r="I744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44" s="8">
        <f>Churn_part[[#This Row],[Facture_Mensuelle]]*Churn_part[[#This Row],[Remise Client]]</f>
        <v>17.221500000000002</v>
      </c>
    </row>
    <row r="745" spans="1:10" x14ac:dyDescent="0.3">
      <c r="A745" t="s">
        <v>781</v>
      </c>
      <c r="B745" t="s">
        <v>56</v>
      </c>
      <c r="C745">
        <v>102</v>
      </c>
      <c r="D745" t="s">
        <v>18</v>
      </c>
      <c r="E745" t="str">
        <f>IF(Churn_part[[#This Row],[Type_Forfait]]="Pro Monde", "B2B", "B2C")</f>
        <v>B2C</v>
      </c>
      <c r="F745">
        <v>484</v>
      </c>
      <c r="G745" s="8">
        <v>64.22</v>
      </c>
      <c r="H745">
        <v>2</v>
      </c>
      <c r="I745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45" s="8">
        <f>Churn_part[[#This Row],[Facture_Mensuelle]]*Churn_part[[#This Row],[Remise Client]]</f>
        <v>28.899000000000001</v>
      </c>
    </row>
    <row r="746" spans="1:10" x14ac:dyDescent="0.3">
      <c r="A746" t="s">
        <v>782</v>
      </c>
      <c r="B746" t="s">
        <v>50</v>
      </c>
      <c r="C746">
        <v>25</v>
      </c>
      <c r="D746" t="s">
        <v>13</v>
      </c>
      <c r="E746" t="str">
        <f>IF(Churn_part[[#This Row],[Type_Forfait]]="Pro Monde", "B2B", "B2C")</f>
        <v>B2B</v>
      </c>
      <c r="F746">
        <v>66</v>
      </c>
      <c r="G746" s="8">
        <v>90.14</v>
      </c>
      <c r="H746">
        <v>5</v>
      </c>
      <c r="I746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0.1</v>
      </c>
      <c r="J746" s="8">
        <f>Churn_part[[#This Row],[Facture_Mensuelle]]*Churn_part[[#This Row],[Remise Client]]</f>
        <v>9.0140000000000011</v>
      </c>
    </row>
    <row r="747" spans="1:10" x14ac:dyDescent="0.3">
      <c r="A747" t="s">
        <v>783</v>
      </c>
      <c r="B747" t="s">
        <v>28</v>
      </c>
      <c r="C747">
        <v>12</v>
      </c>
      <c r="D747" t="s">
        <v>10</v>
      </c>
      <c r="E747" t="str">
        <f>IF(Churn_part[[#This Row],[Type_Forfait]]="Pro Monde", "B2B", "B2C")</f>
        <v>B2C</v>
      </c>
      <c r="F747">
        <v>138</v>
      </c>
      <c r="G747" s="8">
        <v>99.83</v>
      </c>
      <c r="H747">
        <v>1</v>
      </c>
      <c r="I747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47" s="8">
        <f>Churn_part[[#This Row],[Facture_Mensuelle]]*Churn_part[[#This Row],[Remise Client]]</f>
        <v>0</v>
      </c>
    </row>
    <row r="748" spans="1:10" x14ac:dyDescent="0.3">
      <c r="A748" t="s">
        <v>784</v>
      </c>
      <c r="B748" t="s">
        <v>17</v>
      </c>
      <c r="C748">
        <v>75</v>
      </c>
      <c r="D748" t="s">
        <v>18</v>
      </c>
      <c r="E748" t="str">
        <f>IF(Churn_part[[#This Row],[Type_Forfait]]="Pro Monde", "B2B", "B2C")</f>
        <v>B2C</v>
      </c>
      <c r="F748">
        <v>370</v>
      </c>
      <c r="G748" s="8">
        <v>21.67</v>
      </c>
      <c r="H748">
        <v>0</v>
      </c>
      <c r="I748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0.45</v>
      </c>
      <c r="J748" s="8">
        <f>Churn_part[[#This Row],[Facture_Mensuelle]]*Churn_part[[#This Row],[Remise Client]]</f>
        <v>9.7515000000000018</v>
      </c>
    </row>
    <row r="749" spans="1:10" x14ac:dyDescent="0.3">
      <c r="A749" t="s">
        <v>785</v>
      </c>
      <c r="B749" t="s">
        <v>129</v>
      </c>
      <c r="C749">
        <v>4</v>
      </c>
      <c r="D749" t="s">
        <v>18</v>
      </c>
      <c r="E749" t="str">
        <f>IF(Churn_part[[#This Row],[Type_Forfait]]="Pro Monde", "B2B", "B2C")</f>
        <v>B2C</v>
      </c>
      <c r="F749">
        <v>21</v>
      </c>
      <c r="G749" s="8">
        <v>45.8</v>
      </c>
      <c r="H749">
        <v>1</v>
      </c>
      <c r="I749" s="9">
        <f>IF(Churn_part[[#This Row],[Types client]]="B2B",10%, IF(AND(Churn_part[[#This Row],[Duree_Cumulee_Panne_Min]]&gt;720,Churn_part[[#This Row],[Anciennete_Mois]]&gt;60),70%,IF(OR(AND(Churn_part[[#This Row],[Duree_Cumulee_Panne_Min]]&gt;=240,Churn_part[[#This Row],[Anciennete_Mois]]&lt;=720),AND(Churn_part[[#This Row],[Anciennete_Mois]]&lt;60,Churn_part[[#This Row],[Type_Forfait]]="Premium 5G")),45%,0%)))</f>
        <v>0</v>
      </c>
      <c r="J749" s="8">
        <f>Churn_part[[#This Row],[Facture_Mensuelle]]*Churn_part[[#This Row],[Remise Client]]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3AA0-A158-4DED-A908-16F6C01221E8}">
  <dimension ref="A1:M32"/>
  <sheetViews>
    <sheetView workbookViewId="0">
      <selection activeCell="M9" sqref="M9"/>
    </sheetView>
  </sheetViews>
  <sheetFormatPr baseColWidth="10" defaultRowHeight="14.4" x14ac:dyDescent="0.3"/>
  <cols>
    <col min="1" max="1" width="26.44140625" bestFit="1" customWidth="1"/>
    <col min="2" max="2" width="22.33203125" bestFit="1" customWidth="1"/>
    <col min="3" max="3" width="5" bestFit="1" customWidth="1"/>
    <col min="4" max="4" width="6" bestFit="1" customWidth="1"/>
    <col min="5" max="6" width="11.88671875" bestFit="1" customWidth="1"/>
    <col min="13" max="13" width="12.109375" bestFit="1" customWidth="1"/>
  </cols>
  <sheetData>
    <row r="1" spans="1:13" x14ac:dyDescent="0.3">
      <c r="A1" s="2" t="s">
        <v>789</v>
      </c>
      <c r="B1" t="s" vm="1">
        <v>1652</v>
      </c>
    </row>
    <row r="2" spans="1:13" x14ac:dyDescent="0.3">
      <c r="M2" s="4"/>
    </row>
    <row r="3" spans="1:13" ht="18.600000000000001" x14ac:dyDescent="0.45">
      <c r="A3" s="2" t="s">
        <v>1645</v>
      </c>
      <c r="B3" s="2" t="s">
        <v>1651</v>
      </c>
      <c r="M3" s="5"/>
    </row>
    <row r="4" spans="1:13" x14ac:dyDescent="0.3">
      <c r="A4" s="2" t="s">
        <v>1643</v>
      </c>
      <c r="B4" t="s">
        <v>1492</v>
      </c>
      <c r="C4" t="s">
        <v>1490</v>
      </c>
      <c r="D4" t="s">
        <v>1487</v>
      </c>
      <c r="E4" t="s">
        <v>1644</v>
      </c>
    </row>
    <row r="5" spans="1:13" x14ac:dyDescent="0.3">
      <c r="A5" s="3" t="s">
        <v>129</v>
      </c>
      <c r="B5" s="10">
        <v>683</v>
      </c>
      <c r="C5" s="10">
        <v>327</v>
      </c>
      <c r="D5" s="10">
        <v>916</v>
      </c>
      <c r="E5" s="10">
        <v>1926</v>
      </c>
      <c r="M5" s="4"/>
    </row>
    <row r="6" spans="1:13" ht="18.600000000000001" x14ac:dyDescent="0.45">
      <c r="A6" s="3" t="s">
        <v>61</v>
      </c>
      <c r="B6" s="10">
        <v>36</v>
      </c>
      <c r="C6" s="10">
        <v>457</v>
      </c>
      <c r="D6" s="10">
        <v>1310</v>
      </c>
      <c r="E6" s="10">
        <v>1803</v>
      </c>
      <c r="M6" s="6"/>
    </row>
    <row r="7" spans="1:13" x14ac:dyDescent="0.3">
      <c r="A7" s="3" t="s">
        <v>23</v>
      </c>
      <c r="B7" s="10">
        <v>411</v>
      </c>
      <c r="C7" s="10">
        <v>474</v>
      </c>
      <c r="D7" s="10">
        <v>669</v>
      </c>
      <c r="E7" s="10">
        <v>1554</v>
      </c>
    </row>
    <row r="8" spans="1:13" x14ac:dyDescent="0.3">
      <c r="A8" s="3" t="s">
        <v>36</v>
      </c>
      <c r="B8" s="10">
        <v>341</v>
      </c>
      <c r="C8" s="10">
        <v>535</v>
      </c>
      <c r="D8" s="10">
        <v>657</v>
      </c>
      <c r="E8" s="10">
        <v>1533</v>
      </c>
      <c r="M8" s="4"/>
    </row>
    <row r="9" spans="1:13" ht="21" x14ac:dyDescent="0.5">
      <c r="A9" s="3" t="s">
        <v>87</v>
      </c>
      <c r="B9" s="10">
        <v>275</v>
      </c>
      <c r="C9" s="10">
        <v>772</v>
      </c>
      <c r="D9" s="10">
        <v>398</v>
      </c>
      <c r="E9" s="10">
        <v>1445</v>
      </c>
      <c r="M9" s="7"/>
    </row>
    <row r="10" spans="1:13" x14ac:dyDescent="0.3">
      <c r="A10" s="3" t="s">
        <v>30</v>
      </c>
      <c r="B10" s="10">
        <v>380</v>
      </c>
      <c r="C10" s="10">
        <v>357</v>
      </c>
      <c r="D10" s="10">
        <v>612</v>
      </c>
      <c r="E10" s="10">
        <v>1349</v>
      </c>
    </row>
    <row r="11" spans="1:13" x14ac:dyDescent="0.3">
      <c r="A11" s="3" t="s">
        <v>25</v>
      </c>
      <c r="B11" s="10">
        <v>610</v>
      </c>
      <c r="C11" s="10">
        <v>279</v>
      </c>
      <c r="D11" s="10">
        <v>453</v>
      </c>
      <c r="E11" s="10">
        <v>1342</v>
      </c>
    </row>
    <row r="12" spans="1:13" x14ac:dyDescent="0.3">
      <c r="A12" s="3" t="s">
        <v>20</v>
      </c>
      <c r="B12" s="10">
        <v>766</v>
      </c>
      <c r="C12" s="10">
        <v>120</v>
      </c>
      <c r="D12" s="10">
        <v>432</v>
      </c>
      <c r="E12" s="10">
        <v>1318</v>
      </c>
    </row>
    <row r="13" spans="1:13" x14ac:dyDescent="0.3">
      <c r="A13" s="3" t="s">
        <v>72</v>
      </c>
      <c r="B13" s="10">
        <v>535</v>
      </c>
      <c r="C13" s="10">
        <v>171</v>
      </c>
      <c r="D13" s="10">
        <v>538</v>
      </c>
      <c r="E13" s="10">
        <v>1244</v>
      </c>
    </row>
    <row r="14" spans="1:13" x14ac:dyDescent="0.3">
      <c r="A14" s="3" t="s">
        <v>135</v>
      </c>
      <c r="B14" s="10">
        <v>354</v>
      </c>
      <c r="C14" s="10">
        <v>526</v>
      </c>
      <c r="D14" s="10">
        <v>264</v>
      </c>
      <c r="E14" s="10">
        <v>1144</v>
      </c>
    </row>
    <row r="15" spans="1:13" x14ac:dyDescent="0.3">
      <c r="A15" s="3" t="s">
        <v>66</v>
      </c>
      <c r="B15" s="10">
        <v>490</v>
      </c>
      <c r="C15" s="10">
        <v>334</v>
      </c>
      <c r="D15" s="10">
        <v>266</v>
      </c>
      <c r="E15" s="10">
        <v>1090</v>
      </c>
    </row>
    <row r="16" spans="1:13" x14ac:dyDescent="0.3">
      <c r="A16" s="3" t="s">
        <v>15</v>
      </c>
      <c r="B16" s="10">
        <v>170</v>
      </c>
      <c r="C16" s="10">
        <v>313</v>
      </c>
      <c r="D16" s="10">
        <v>591</v>
      </c>
      <c r="E16" s="10">
        <v>1074</v>
      </c>
    </row>
    <row r="17" spans="1:5" x14ac:dyDescent="0.3">
      <c r="A17" s="3" t="s">
        <v>125</v>
      </c>
      <c r="B17" s="10">
        <v>67</v>
      </c>
      <c r="C17" s="10">
        <v>234</v>
      </c>
      <c r="D17" s="10">
        <v>710</v>
      </c>
      <c r="E17" s="10">
        <v>1011</v>
      </c>
    </row>
    <row r="18" spans="1:5" x14ac:dyDescent="0.3">
      <c r="A18" s="3" t="s">
        <v>17</v>
      </c>
      <c r="B18" s="10">
        <v>230</v>
      </c>
      <c r="C18" s="10">
        <v>689</v>
      </c>
      <c r="D18" s="10">
        <v>87</v>
      </c>
      <c r="E18" s="10">
        <v>1006</v>
      </c>
    </row>
    <row r="19" spans="1:5" x14ac:dyDescent="0.3">
      <c r="A19" s="3" t="s">
        <v>63</v>
      </c>
      <c r="B19" s="10">
        <v>377</v>
      </c>
      <c r="C19" s="10">
        <v>174</v>
      </c>
      <c r="D19" s="10">
        <v>455</v>
      </c>
      <c r="E19" s="10">
        <v>1006</v>
      </c>
    </row>
    <row r="20" spans="1:5" x14ac:dyDescent="0.3">
      <c r="A20" s="3" t="s">
        <v>77</v>
      </c>
      <c r="B20" s="10"/>
      <c r="C20" s="10">
        <v>633</v>
      </c>
      <c r="D20" s="10">
        <v>355</v>
      </c>
      <c r="E20" s="10">
        <v>988</v>
      </c>
    </row>
    <row r="21" spans="1:5" x14ac:dyDescent="0.3">
      <c r="A21" s="3" t="s">
        <v>59</v>
      </c>
      <c r="B21" s="10">
        <v>268</v>
      </c>
      <c r="C21" s="10">
        <v>118</v>
      </c>
      <c r="D21" s="10">
        <v>538</v>
      </c>
      <c r="E21" s="10">
        <v>924</v>
      </c>
    </row>
    <row r="22" spans="1:5" x14ac:dyDescent="0.3">
      <c r="A22" s="3" t="s">
        <v>9</v>
      </c>
      <c r="B22" s="10">
        <v>277</v>
      </c>
      <c r="C22" s="10">
        <v>204</v>
      </c>
      <c r="D22" s="10">
        <v>426</v>
      </c>
      <c r="E22" s="10">
        <v>907</v>
      </c>
    </row>
    <row r="23" spans="1:5" x14ac:dyDescent="0.3">
      <c r="A23" s="3" t="s">
        <v>50</v>
      </c>
      <c r="B23" s="10">
        <v>494</v>
      </c>
      <c r="C23" s="10">
        <v>274</v>
      </c>
      <c r="D23" s="10">
        <v>110</v>
      </c>
      <c r="E23" s="10">
        <v>878</v>
      </c>
    </row>
    <row r="24" spans="1:5" x14ac:dyDescent="0.3">
      <c r="A24" s="3" t="s">
        <v>28</v>
      </c>
      <c r="B24" s="10">
        <v>116</v>
      </c>
      <c r="C24" s="10">
        <v>308</v>
      </c>
      <c r="D24" s="10">
        <v>433</v>
      </c>
      <c r="E24" s="10">
        <v>857</v>
      </c>
    </row>
    <row r="25" spans="1:5" x14ac:dyDescent="0.3">
      <c r="A25" s="3" t="s">
        <v>32</v>
      </c>
      <c r="B25" s="10">
        <v>125</v>
      </c>
      <c r="C25" s="10">
        <v>488</v>
      </c>
      <c r="D25" s="10">
        <v>87</v>
      </c>
      <c r="E25" s="10">
        <v>700</v>
      </c>
    </row>
    <row r="26" spans="1:5" x14ac:dyDescent="0.3">
      <c r="A26" s="3" t="s">
        <v>39</v>
      </c>
      <c r="B26" s="10"/>
      <c r="C26" s="10">
        <v>453</v>
      </c>
      <c r="D26" s="10">
        <v>168</v>
      </c>
      <c r="E26" s="10">
        <v>621</v>
      </c>
    </row>
    <row r="27" spans="1:5" x14ac:dyDescent="0.3">
      <c r="A27" s="3" t="s">
        <v>56</v>
      </c>
      <c r="B27" s="10">
        <v>152</v>
      </c>
      <c r="C27" s="10">
        <v>119</v>
      </c>
      <c r="D27" s="10">
        <v>298</v>
      </c>
      <c r="E27" s="10">
        <v>569</v>
      </c>
    </row>
    <row r="28" spans="1:5" x14ac:dyDescent="0.3">
      <c r="A28" s="3" t="s">
        <v>12</v>
      </c>
      <c r="B28" s="10">
        <v>147</v>
      </c>
      <c r="C28" s="10">
        <v>75</v>
      </c>
      <c r="D28" s="10">
        <v>208</v>
      </c>
      <c r="E28" s="10">
        <v>430</v>
      </c>
    </row>
    <row r="29" spans="1:5" x14ac:dyDescent="0.3">
      <c r="A29" s="3" t="s">
        <v>43</v>
      </c>
      <c r="B29" s="10">
        <v>98</v>
      </c>
      <c r="C29" s="10">
        <v>177</v>
      </c>
      <c r="D29" s="10">
        <v>89</v>
      </c>
      <c r="E29" s="10">
        <v>364</v>
      </c>
    </row>
    <row r="30" spans="1:5" x14ac:dyDescent="0.3">
      <c r="A30" s="3" t="s">
        <v>34</v>
      </c>
      <c r="B30" s="10">
        <v>34</v>
      </c>
      <c r="C30" s="10">
        <v>72</v>
      </c>
      <c r="D30" s="10">
        <v>156</v>
      </c>
      <c r="E30" s="10">
        <v>262</v>
      </c>
    </row>
    <row r="31" spans="1:5" x14ac:dyDescent="0.3">
      <c r="A31" s="3" t="s">
        <v>1646</v>
      </c>
      <c r="B31" s="10">
        <v>68</v>
      </c>
      <c r="C31" s="10"/>
      <c r="D31" s="10"/>
      <c r="E31" s="10">
        <v>68</v>
      </c>
    </row>
    <row r="32" spans="1:5" x14ac:dyDescent="0.3">
      <c r="A32" s="3" t="s">
        <v>1644</v>
      </c>
      <c r="B32" s="10">
        <v>7504</v>
      </c>
      <c r="C32" s="10">
        <v>8683</v>
      </c>
      <c r="D32" s="10">
        <v>11226</v>
      </c>
      <c r="E32" s="10">
        <v>27413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EF34-8D74-4573-BCC9-67456D5CC118}">
  <dimension ref="A1:K1085"/>
  <sheetViews>
    <sheetView topLeftCell="A2" workbookViewId="0">
      <selection activeCell="F10" sqref="F10"/>
    </sheetView>
  </sheetViews>
  <sheetFormatPr baseColWidth="10" defaultRowHeight="14.4" x14ac:dyDescent="0.3"/>
  <cols>
    <col min="1" max="1" width="22.6640625" bestFit="1" customWidth="1"/>
    <col min="2" max="2" width="19.5546875" style="1" bestFit="1" customWidth="1"/>
    <col min="3" max="3" width="9.109375" bestFit="1" customWidth="1"/>
    <col min="4" max="4" width="18.77734375" customWidth="1"/>
    <col min="5" max="5" width="18.33203125" bestFit="1" customWidth="1"/>
    <col min="6" max="6" width="14" style="4" customWidth="1"/>
    <col min="7" max="7" width="18.44140625" style="4" customWidth="1"/>
  </cols>
  <sheetData>
    <row r="1" spans="1:11" x14ac:dyDescent="0.3">
      <c r="A1" t="s">
        <v>0</v>
      </c>
      <c r="B1" s="1" t="s">
        <v>786</v>
      </c>
      <c r="C1" t="s">
        <v>787</v>
      </c>
      <c r="D1" t="s">
        <v>788</v>
      </c>
      <c r="E1" t="s">
        <v>789</v>
      </c>
      <c r="F1" s="4" t="s">
        <v>1481</v>
      </c>
      <c r="G1" s="4" t="s">
        <v>1649</v>
      </c>
      <c r="H1" t="s">
        <v>1648</v>
      </c>
      <c r="I1" t="s">
        <v>1483</v>
      </c>
      <c r="J1" t="s">
        <v>1484</v>
      </c>
      <c r="K1" t="s">
        <v>1650</v>
      </c>
    </row>
    <row r="2" spans="1:11" x14ac:dyDescent="0.3">
      <c r="A2" t="s">
        <v>790</v>
      </c>
      <c r="B2" s="1">
        <v>45203.032638888893</v>
      </c>
      <c r="C2" t="s">
        <v>1647</v>
      </c>
      <c r="D2">
        <v>73</v>
      </c>
      <c r="E2" t="s">
        <v>792</v>
      </c>
      <c r="F2" s="4" t="s">
        <v>36</v>
      </c>
      <c r="G2" s="4" t="str">
        <f>IFERROR(VLOOKUP(C2,'Registre maintenance'!B:F,2,FALSE),"Non trouvé")</f>
        <v>Non trouvé</v>
      </c>
      <c r="H2" t="str">
        <f>IFERROR(VLOOKUP(C2,'Registre maintenance'!B:F,3,FALSE),"Non trouvé")</f>
        <v>Non trouvé</v>
      </c>
      <c r="I2" t="str">
        <f>IFERROR(VLOOKUP(C2,'Registre maintenance'!B:F,4,FALSE),"Non trouvé")</f>
        <v>Non trouvé</v>
      </c>
      <c r="J2" t="str">
        <f>IFERROR(VLOOKUP(C2,'Registre maintenance'!B:F,5,FALSE),"Non trouvé")</f>
        <v>Non trouvé</v>
      </c>
      <c r="K2" t="str">
        <f t="shared" ref="K2:K65" si="0">IF(F2=G2,"OK","Mismatch")</f>
        <v>Mismatch</v>
      </c>
    </row>
    <row r="3" spans="1:11" x14ac:dyDescent="0.3">
      <c r="A3" t="s">
        <v>1038</v>
      </c>
      <c r="B3" s="1">
        <v>45228.791666666657</v>
      </c>
      <c r="C3" t="s">
        <v>791</v>
      </c>
      <c r="D3">
        <v>63</v>
      </c>
      <c r="E3" t="s">
        <v>792</v>
      </c>
      <c r="F3" s="4" t="s">
        <v>36</v>
      </c>
      <c r="G3" s="4" t="str">
        <f>IFERROR(VLOOKUP(C3,'Registre maintenance'!B:F,2,FALSE),"Non trouvé")</f>
        <v>Tanganyika</v>
      </c>
      <c r="H3">
        <f>IFERROR(VLOOKUP(C3,'Registre maintenance'!B:F,3,FALSE),"Non trouvé")</f>
        <v>-11.144149000000001</v>
      </c>
      <c r="I3">
        <f>IFERROR(VLOOKUP(C3,'Registre maintenance'!B:F,4,FALSE),"Non trouvé")</f>
        <v>27.244658999999999</v>
      </c>
      <c r="J3" t="str">
        <f>IFERROR(VLOOKUP(C3,'Registre maintenance'!B:F,5,FALSE),"Non trouvé")</f>
        <v>4G</v>
      </c>
      <c r="K3" t="str">
        <f t="shared" si="0"/>
        <v>OK</v>
      </c>
    </row>
    <row r="4" spans="1:11" x14ac:dyDescent="0.3">
      <c r="A4" t="s">
        <v>790</v>
      </c>
      <c r="B4" s="1">
        <v>45208.301388888889</v>
      </c>
      <c r="C4" t="s">
        <v>793</v>
      </c>
      <c r="D4">
        <v>38</v>
      </c>
      <c r="E4" t="s">
        <v>792</v>
      </c>
      <c r="F4" s="4" t="str">
        <f t="shared" ref="F4:F5" si="1">F3</f>
        <v>Tanganyika</v>
      </c>
      <c r="G4" s="4" t="str">
        <f>IFERROR(VLOOKUP(C4,'Registre maintenance'!B:F,2,FALSE),"Non trouvé")</f>
        <v>Non trouvé</v>
      </c>
      <c r="H4" t="str">
        <f>IFERROR(VLOOKUP(C4,'Registre maintenance'!B:F,3,FALSE),"Non trouvé")</f>
        <v>Non trouvé</v>
      </c>
      <c r="I4" t="str">
        <f>IFERROR(VLOOKUP(C4,'Registre maintenance'!B:F,4,FALSE),"Non trouvé")</f>
        <v>Non trouvé</v>
      </c>
      <c r="J4" t="str">
        <f>IFERROR(VLOOKUP(C4,'Registre maintenance'!B:F,5,FALSE),"Non trouvé")</f>
        <v>Non trouvé</v>
      </c>
      <c r="K4" t="str">
        <f t="shared" si="0"/>
        <v>Mismatch</v>
      </c>
    </row>
    <row r="5" spans="1:11" x14ac:dyDescent="0.3">
      <c r="A5" t="s">
        <v>839</v>
      </c>
      <c r="B5" s="1">
        <v>45226.003472222219</v>
      </c>
      <c r="C5" t="s">
        <v>793</v>
      </c>
      <c r="D5">
        <v>111</v>
      </c>
      <c r="E5" t="s">
        <v>792</v>
      </c>
      <c r="F5" s="4" t="str">
        <f t="shared" si="1"/>
        <v>Tanganyika</v>
      </c>
      <c r="G5" s="4" t="str">
        <f>IFERROR(VLOOKUP(C5,'Registre maintenance'!B:F,2,FALSE),"Non trouvé")</f>
        <v>Non trouvé</v>
      </c>
      <c r="H5" t="str">
        <f>IFERROR(VLOOKUP(C5,'Registre maintenance'!B:F,3,FALSE),"Non trouvé")</f>
        <v>Non trouvé</v>
      </c>
      <c r="I5" t="str">
        <f>IFERROR(VLOOKUP(C5,'Registre maintenance'!B:F,4,FALSE),"Non trouvé")</f>
        <v>Non trouvé</v>
      </c>
      <c r="J5" t="str">
        <f>IFERROR(VLOOKUP(C5,'Registre maintenance'!B:F,5,FALSE),"Non trouvé")</f>
        <v>Non trouvé</v>
      </c>
      <c r="K5" t="str">
        <f t="shared" si="0"/>
        <v>Mismatch</v>
      </c>
    </row>
    <row r="6" spans="1:11" x14ac:dyDescent="0.3">
      <c r="A6" t="s">
        <v>790</v>
      </c>
      <c r="B6" s="1">
        <v>45212.140277777777</v>
      </c>
      <c r="C6" t="s">
        <v>811</v>
      </c>
      <c r="D6">
        <v>19</v>
      </c>
      <c r="E6" t="s">
        <v>795</v>
      </c>
      <c r="F6" s="4" t="s">
        <v>36</v>
      </c>
      <c r="G6" s="4" t="str">
        <f>IFERROR(VLOOKUP(C6,'Registre maintenance'!B:F,2,FALSE),"Non trouvé")</f>
        <v>Tanganyika</v>
      </c>
      <c r="H6">
        <f>IFERROR(VLOOKUP(C6,'Registre maintenance'!B:F,3,FALSE),"Non trouvé")</f>
        <v>-9.4708620000000003</v>
      </c>
      <c r="I6">
        <f>IFERROR(VLOOKUP(C6,'Registre maintenance'!B:F,4,FALSE),"Non trouvé")</f>
        <v>29.234387999999999</v>
      </c>
      <c r="J6" t="str">
        <f>IFERROR(VLOOKUP(C6,'Registre maintenance'!B:F,5,FALSE),"Non trouvé")</f>
        <v>3G</v>
      </c>
      <c r="K6" t="str">
        <f t="shared" si="0"/>
        <v>OK</v>
      </c>
    </row>
    <row r="7" spans="1:11" x14ac:dyDescent="0.3">
      <c r="A7" t="s">
        <v>790</v>
      </c>
      <c r="B7" s="1">
        <v>45204.962500000001</v>
      </c>
      <c r="C7" t="s">
        <v>794</v>
      </c>
      <c r="D7">
        <v>100</v>
      </c>
      <c r="E7" t="s">
        <v>795</v>
      </c>
      <c r="F7" s="4" t="str">
        <f t="shared" ref="F7:F9" si="2">F6</f>
        <v>Tanganyika</v>
      </c>
      <c r="G7" s="4" t="str">
        <f>IFERROR(VLOOKUP(C7,'Registre maintenance'!B:F,2,FALSE),"Non trouvé")</f>
        <v>Non trouvé</v>
      </c>
      <c r="H7" t="str">
        <f>IFERROR(VLOOKUP(C7,'Registre maintenance'!B:F,3,FALSE),"Non trouvé")</f>
        <v>Non trouvé</v>
      </c>
      <c r="I7" t="str">
        <f>IFERROR(VLOOKUP(C7,'Registre maintenance'!B:F,4,FALSE),"Non trouvé")</f>
        <v>Non trouvé</v>
      </c>
      <c r="J7" t="str">
        <f>IFERROR(VLOOKUP(C7,'Registre maintenance'!B:F,5,FALSE),"Non trouvé")</f>
        <v>Non trouvé</v>
      </c>
      <c r="K7" t="str">
        <f t="shared" si="0"/>
        <v>Mismatch</v>
      </c>
    </row>
    <row r="8" spans="1:11" x14ac:dyDescent="0.3">
      <c r="A8" t="s">
        <v>790</v>
      </c>
      <c r="B8" s="1">
        <v>45224.378472222219</v>
      </c>
      <c r="C8" t="s">
        <v>794</v>
      </c>
      <c r="D8">
        <v>53</v>
      </c>
      <c r="E8" t="s">
        <v>797</v>
      </c>
      <c r="F8" s="4" t="str">
        <f t="shared" si="2"/>
        <v>Tanganyika</v>
      </c>
      <c r="G8" s="4" t="str">
        <f>IFERROR(VLOOKUP(C8,'Registre maintenance'!B:F,2,FALSE),"Non trouvé")</f>
        <v>Non trouvé</v>
      </c>
      <c r="H8" t="str">
        <f>IFERROR(VLOOKUP(C8,'Registre maintenance'!B:F,3,FALSE),"Non trouvé")</f>
        <v>Non trouvé</v>
      </c>
      <c r="I8" t="str">
        <f>IFERROR(VLOOKUP(C8,'Registre maintenance'!B:F,4,FALSE),"Non trouvé")</f>
        <v>Non trouvé</v>
      </c>
      <c r="J8" t="str">
        <f>IFERROR(VLOOKUP(C8,'Registre maintenance'!B:F,5,FALSE),"Non trouvé")</f>
        <v>Non trouvé</v>
      </c>
      <c r="K8" t="str">
        <f t="shared" si="0"/>
        <v>Mismatch</v>
      </c>
    </row>
    <row r="9" spans="1:11" x14ac:dyDescent="0.3">
      <c r="A9" t="s">
        <v>790</v>
      </c>
      <c r="B9" s="1">
        <v>45221.997916666667</v>
      </c>
      <c r="C9" t="s">
        <v>796</v>
      </c>
      <c r="D9">
        <v>79</v>
      </c>
      <c r="E9" t="s">
        <v>797</v>
      </c>
      <c r="F9" s="4" t="str">
        <f t="shared" si="2"/>
        <v>Tanganyika</v>
      </c>
      <c r="G9" s="4" t="str">
        <f>IFERROR(VLOOKUP(C9,'Registre maintenance'!B:F,2,FALSE),"Non trouvé")</f>
        <v>Non trouvé</v>
      </c>
      <c r="H9" t="str">
        <f>IFERROR(VLOOKUP(C9,'Registre maintenance'!B:F,3,FALSE),"Non trouvé")</f>
        <v>Non trouvé</v>
      </c>
      <c r="I9" t="str">
        <f>IFERROR(VLOOKUP(C9,'Registre maintenance'!B:F,4,FALSE),"Non trouvé")</f>
        <v>Non trouvé</v>
      </c>
      <c r="J9" t="str">
        <f>IFERROR(VLOOKUP(C9,'Registre maintenance'!B:F,5,FALSE),"Non trouvé")</f>
        <v>Non trouvé</v>
      </c>
      <c r="K9" t="str">
        <f t="shared" si="0"/>
        <v>Mismatch</v>
      </c>
    </row>
    <row r="10" spans="1:11" x14ac:dyDescent="0.3">
      <c r="A10" t="s">
        <v>883</v>
      </c>
      <c r="B10" s="1">
        <v>45210.568055555559</v>
      </c>
      <c r="C10" t="s">
        <v>889</v>
      </c>
      <c r="D10">
        <v>96</v>
      </c>
      <c r="E10" t="s">
        <v>792</v>
      </c>
      <c r="F10" s="4" t="s">
        <v>63</v>
      </c>
      <c r="G10" s="4" t="str">
        <f>IFERROR(VLOOKUP(C10,'Registre maintenance'!B:F,2,FALSE),"Non trouvé")</f>
        <v>Kinshasa</v>
      </c>
      <c r="H10">
        <f>IFERROR(VLOOKUP(C10,'Registre maintenance'!B:F,3,FALSE),"Non trouvé")</f>
        <v>-5.4126279999999998</v>
      </c>
      <c r="I10">
        <f>IFERROR(VLOOKUP(C10,'Registre maintenance'!B:F,4,FALSE),"Non trouvé")</f>
        <v>25.498235999999999</v>
      </c>
      <c r="J10" t="str">
        <f>IFERROR(VLOOKUP(C10,'Registre maintenance'!B:F,5,FALSE),"Non trouvé")</f>
        <v>5G</v>
      </c>
      <c r="K10" t="str">
        <f t="shared" si="0"/>
        <v>OK</v>
      </c>
    </row>
    <row r="11" spans="1:11" x14ac:dyDescent="0.3">
      <c r="A11" t="s">
        <v>790</v>
      </c>
      <c r="B11" s="1">
        <v>45217.109027777777</v>
      </c>
      <c r="C11" t="s">
        <v>798</v>
      </c>
      <c r="D11">
        <v>59</v>
      </c>
      <c r="E11" t="s">
        <v>792</v>
      </c>
      <c r="F11" s="4" t="str">
        <f>F10</f>
        <v>Kinshasa</v>
      </c>
      <c r="G11" s="4" t="str">
        <f>IFERROR(VLOOKUP(C11,'Registre maintenance'!B:F,2,FALSE),"Non trouvé")</f>
        <v>Non trouvé</v>
      </c>
      <c r="H11" t="str">
        <f>IFERROR(VLOOKUP(C11,'Registre maintenance'!B:F,3,FALSE),"Non trouvé")</f>
        <v>Non trouvé</v>
      </c>
      <c r="I11" t="str">
        <f>IFERROR(VLOOKUP(C11,'Registre maintenance'!B:F,4,FALSE),"Non trouvé")</f>
        <v>Non trouvé</v>
      </c>
      <c r="J11" t="str">
        <f>IFERROR(VLOOKUP(C11,'Registre maintenance'!B:F,5,FALSE),"Non trouvé")</f>
        <v>Non trouvé</v>
      </c>
      <c r="K11" t="str">
        <f t="shared" si="0"/>
        <v>Mismatch</v>
      </c>
    </row>
    <row r="12" spans="1:11" x14ac:dyDescent="0.3">
      <c r="A12" t="s">
        <v>790</v>
      </c>
      <c r="B12" s="1">
        <v>45213.042361111111</v>
      </c>
      <c r="C12" t="s">
        <v>799</v>
      </c>
      <c r="D12">
        <v>119</v>
      </c>
      <c r="E12" t="s">
        <v>795</v>
      </c>
      <c r="F12" s="4" t="s">
        <v>61</v>
      </c>
      <c r="G12" s="4" t="str">
        <f>IFERROR(VLOOKUP(C12,'Registre maintenance'!B:F,2,FALSE),"Non trouvé")</f>
        <v>Kongo-Central</v>
      </c>
      <c r="H12">
        <f>IFERROR(VLOOKUP(C12,'Registre maintenance'!B:F,3,FALSE),"Non trouvé")</f>
        <v>-2.8211520000000001</v>
      </c>
      <c r="I12">
        <f>IFERROR(VLOOKUP(C12,'Registre maintenance'!B:F,4,FALSE),"Non trouvé")</f>
        <v>20.651419000000001</v>
      </c>
      <c r="J12" t="str">
        <f>IFERROR(VLOOKUP(C12,'Registre maintenance'!B:F,5,FALSE),"Non trouvé")</f>
        <v>5G</v>
      </c>
      <c r="K12" t="str">
        <f t="shared" si="0"/>
        <v>OK</v>
      </c>
    </row>
    <row r="13" spans="1:11" x14ac:dyDescent="0.3">
      <c r="A13" t="s">
        <v>883</v>
      </c>
      <c r="B13" s="1">
        <v>45213.022916666669</v>
      </c>
      <c r="C13" t="s">
        <v>799</v>
      </c>
      <c r="D13">
        <v>56</v>
      </c>
      <c r="E13" t="s">
        <v>797</v>
      </c>
      <c r="F13" s="4" t="s">
        <v>61</v>
      </c>
      <c r="G13" s="4" t="str">
        <f>IFERROR(VLOOKUP(C13,'Registre maintenance'!B:F,2,FALSE),"Non trouvé")</f>
        <v>Kongo-Central</v>
      </c>
      <c r="H13">
        <f>IFERROR(VLOOKUP(C13,'Registre maintenance'!B:F,3,FALSE),"Non trouvé")</f>
        <v>-2.8211520000000001</v>
      </c>
      <c r="I13">
        <f>IFERROR(VLOOKUP(C13,'Registre maintenance'!B:F,4,FALSE),"Non trouvé")</f>
        <v>20.651419000000001</v>
      </c>
      <c r="J13" t="str">
        <f>IFERROR(VLOOKUP(C13,'Registre maintenance'!B:F,5,FALSE),"Non trouvé")</f>
        <v>5G</v>
      </c>
      <c r="K13" t="str">
        <f t="shared" si="0"/>
        <v>OK</v>
      </c>
    </row>
    <row r="14" spans="1:11" x14ac:dyDescent="0.3">
      <c r="A14" t="s">
        <v>790</v>
      </c>
      <c r="B14" s="1">
        <v>45202.259722222218</v>
      </c>
      <c r="C14" t="s">
        <v>800</v>
      </c>
      <c r="D14">
        <v>79</v>
      </c>
      <c r="E14" t="s">
        <v>792</v>
      </c>
      <c r="F14" s="4" t="s">
        <v>32</v>
      </c>
      <c r="G14" s="4" t="str">
        <f>IFERROR(VLOOKUP(C14,'Registre maintenance'!B:F,2,FALSE),"Non trouvé")</f>
        <v>Kasai-Central</v>
      </c>
      <c r="H14">
        <f>IFERROR(VLOOKUP(C14,'Registre maintenance'!B:F,3,FALSE),"Non trouvé")</f>
        <v>-1.648264</v>
      </c>
      <c r="I14">
        <f>IFERROR(VLOOKUP(C14,'Registre maintenance'!B:F,4,FALSE),"Non trouvé")</f>
        <v>28.866143999999998</v>
      </c>
      <c r="J14" t="str">
        <f>IFERROR(VLOOKUP(C14,'Registre maintenance'!B:F,5,FALSE),"Non trouvé")</f>
        <v>5G</v>
      </c>
      <c r="K14" t="str">
        <f t="shared" si="0"/>
        <v>OK</v>
      </c>
    </row>
    <row r="15" spans="1:11" x14ac:dyDescent="0.3">
      <c r="A15" t="s">
        <v>790</v>
      </c>
      <c r="B15" s="1">
        <v>45216.792361111111</v>
      </c>
      <c r="C15" t="s">
        <v>801</v>
      </c>
      <c r="D15">
        <v>56</v>
      </c>
      <c r="E15" t="s">
        <v>792</v>
      </c>
      <c r="F15" s="4" t="str">
        <f>F14</f>
        <v>Kasai-Central</v>
      </c>
      <c r="G15" s="4" t="str">
        <f>IFERROR(VLOOKUP(C15,'Registre maintenance'!B:F,2,FALSE),"Non trouvé")</f>
        <v>Non trouvé</v>
      </c>
      <c r="H15" t="str">
        <f>IFERROR(VLOOKUP(C15,'Registre maintenance'!B:F,3,FALSE),"Non trouvé")</f>
        <v>Non trouvé</v>
      </c>
      <c r="I15" t="str">
        <f>IFERROR(VLOOKUP(C15,'Registre maintenance'!B:F,4,FALSE),"Non trouvé")</f>
        <v>Non trouvé</v>
      </c>
      <c r="J15" t="str">
        <f>IFERROR(VLOOKUP(C15,'Registre maintenance'!B:F,5,FALSE),"Non trouvé")</f>
        <v>Non trouvé</v>
      </c>
      <c r="K15" t="str">
        <f t="shared" si="0"/>
        <v>Mismatch</v>
      </c>
    </row>
    <row r="16" spans="1:11" x14ac:dyDescent="0.3">
      <c r="A16" t="s">
        <v>883</v>
      </c>
      <c r="B16" s="1">
        <v>45216.902777777781</v>
      </c>
      <c r="C16" t="s">
        <v>914</v>
      </c>
      <c r="D16">
        <v>20</v>
      </c>
      <c r="E16" t="s">
        <v>797</v>
      </c>
      <c r="F16" s="4" t="s">
        <v>50</v>
      </c>
      <c r="G16" s="4" t="str">
        <f>IFERROR(VLOOKUP(C16,'Registre maintenance'!B:F,2,FALSE),"Non trouvé")</f>
        <v>Kwilu</v>
      </c>
      <c r="H16">
        <f>IFERROR(VLOOKUP(C16,'Registre maintenance'!B:F,3,FALSE),"Non trouvé")</f>
        <v>-4.2408359999999998</v>
      </c>
      <c r="I16">
        <f>IFERROR(VLOOKUP(C16,'Registre maintenance'!B:F,4,FALSE),"Non trouvé")</f>
        <v>26.210014000000001</v>
      </c>
      <c r="J16" t="str">
        <f>IFERROR(VLOOKUP(C16,'Registre maintenance'!B:F,5,FALSE),"Non trouvé")</f>
        <v>4G</v>
      </c>
      <c r="K16" t="str">
        <f t="shared" si="0"/>
        <v>OK</v>
      </c>
    </row>
    <row r="17" spans="1:11" x14ac:dyDescent="0.3">
      <c r="A17" t="s">
        <v>1059</v>
      </c>
      <c r="B17" s="1">
        <v>45221.376388888893</v>
      </c>
      <c r="C17" t="s">
        <v>1082</v>
      </c>
      <c r="D17">
        <v>59</v>
      </c>
      <c r="E17" t="s">
        <v>797</v>
      </c>
      <c r="F17" s="4" t="s">
        <v>77</v>
      </c>
      <c r="G17" s="4" t="str">
        <f>IFERROR(VLOOKUP(C17,'Registre maintenance'!B:F,2,FALSE),"Non trouvé")</f>
        <v>Maniema</v>
      </c>
      <c r="H17">
        <f>IFERROR(VLOOKUP(C17,'Registre maintenance'!B:F,3,FALSE),"Non trouvé")</f>
        <v>-8.4824669999999998</v>
      </c>
      <c r="I17">
        <f>IFERROR(VLOOKUP(C17,'Registre maintenance'!B:F,4,FALSE),"Non trouvé")</f>
        <v>21.897777999999999</v>
      </c>
      <c r="J17" t="str">
        <f>IFERROR(VLOOKUP(C17,'Registre maintenance'!B:F,5,FALSE),"Non trouvé")</f>
        <v>5G</v>
      </c>
      <c r="K17" t="str">
        <f t="shared" si="0"/>
        <v>OK</v>
      </c>
    </row>
    <row r="18" spans="1:11" x14ac:dyDescent="0.3">
      <c r="A18" t="s">
        <v>790</v>
      </c>
      <c r="B18" s="1">
        <v>45217.28125</v>
      </c>
      <c r="C18" t="s">
        <v>802</v>
      </c>
      <c r="D18">
        <v>51</v>
      </c>
      <c r="E18" t="s">
        <v>795</v>
      </c>
      <c r="F18" s="4" t="str">
        <f>F17</f>
        <v>Maniema</v>
      </c>
      <c r="G18" s="4" t="str">
        <f>IFERROR(VLOOKUP(C18,'Registre maintenance'!B:F,2,FALSE),"Non trouvé")</f>
        <v>Non trouvé</v>
      </c>
      <c r="H18" t="str">
        <f>IFERROR(VLOOKUP(C18,'Registre maintenance'!B:F,3,FALSE),"Non trouvé")</f>
        <v>Non trouvé</v>
      </c>
      <c r="I18" t="str">
        <f>IFERROR(VLOOKUP(C18,'Registre maintenance'!B:F,4,FALSE),"Non trouvé")</f>
        <v>Non trouvé</v>
      </c>
      <c r="J18" t="str">
        <f>IFERROR(VLOOKUP(C18,'Registre maintenance'!B:F,5,FALSE),"Non trouvé")</f>
        <v>Non trouvé</v>
      </c>
      <c r="K18" t="str">
        <f t="shared" si="0"/>
        <v>Mismatch</v>
      </c>
    </row>
    <row r="19" spans="1:11" x14ac:dyDescent="0.3">
      <c r="A19" t="s">
        <v>839</v>
      </c>
      <c r="B19" s="1">
        <v>45216.673611111109</v>
      </c>
      <c r="C19" t="s">
        <v>866</v>
      </c>
      <c r="D19">
        <v>117</v>
      </c>
      <c r="E19" t="s">
        <v>792</v>
      </c>
      <c r="F19" s="4" t="s">
        <v>30</v>
      </c>
      <c r="G19" s="4" t="str">
        <f>IFERROR(VLOOKUP(C19,'Registre maintenance'!B:F,2,FALSE),"Non trouvé")</f>
        <v>Sud-Ubangi</v>
      </c>
      <c r="H19">
        <f>IFERROR(VLOOKUP(C19,'Registre maintenance'!B:F,3,FALSE),"Non trouvé")</f>
        <v>-12.141233</v>
      </c>
      <c r="I19">
        <f>IFERROR(VLOOKUP(C19,'Registre maintenance'!B:F,4,FALSE),"Non trouvé")</f>
        <v>15.179043999999999</v>
      </c>
      <c r="J19" t="str">
        <f>IFERROR(VLOOKUP(C19,'Registre maintenance'!B:F,5,FALSE),"Non trouvé")</f>
        <v>5G</v>
      </c>
      <c r="K19" t="str">
        <f t="shared" si="0"/>
        <v>OK</v>
      </c>
    </row>
    <row r="20" spans="1:11" x14ac:dyDescent="0.3">
      <c r="A20" t="s">
        <v>790</v>
      </c>
      <c r="B20" s="1">
        <v>45220.94027777778</v>
      </c>
      <c r="C20" t="s">
        <v>803</v>
      </c>
      <c r="D20">
        <v>33</v>
      </c>
      <c r="E20" t="s">
        <v>797</v>
      </c>
      <c r="F20" s="4" t="str">
        <f t="shared" ref="F20:F21" si="3">F19</f>
        <v>Sud-Ubangi</v>
      </c>
      <c r="G20" s="4" t="str">
        <f>IFERROR(VLOOKUP(C20,'Registre maintenance'!B:F,2,FALSE),"Non trouvé")</f>
        <v>Non trouvé</v>
      </c>
      <c r="H20" t="str">
        <f>IFERROR(VLOOKUP(C20,'Registre maintenance'!B:F,3,FALSE),"Non trouvé")</f>
        <v>Non trouvé</v>
      </c>
      <c r="I20" t="str">
        <f>IFERROR(VLOOKUP(C20,'Registre maintenance'!B:F,4,FALSE),"Non trouvé")</f>
        <v>Non trouvé</v>
      </c>
      <c r="J20" t="str">
        <f>IFERROR(VLOOKUP(C20,'Registre maintenance'!B:F,5,FALSE),"Non trouvé")</f>
        <v>Non trouvé</v>
      </c>
      <c r="K20" t="str">
        <f t="shared" si="0"/>
        <v>Mismatch</v>
      </c>
    </row>
    <row r="21" spans="1:11" x14ac:dyDescent="0.3">
      <c r="A21" t="s">
        <v>790</v>
      </c>
      <c r="B21" s="1">
        <v>45227.48333333333</v>
      </c>
      <c r="C21" t="s">
        <v>803</v>
      </c>
      <c r="D21">
        <v>81</v>
      </c>
      <c r="E21" t="s">
        <v>795</v>
      </c>
      <c r="F21" s="4" t="str">
        <f t="shared" si="3"/>
        <v>Sud-Ubangi</v>
      </c>
      <c r="G21" s="4" t="str">
        <f>IFERROR(VLOOKUP(C21,'Registre maintenance'!B:F,2,FALSE),"Non trouvé")</f>
        <v>Non trouvé</v>
      </c>
      <c r="H21" t="str">
        <f>IFERROR(VLOOKUP(C21,'Registre maintenance'!B:F,3,FALSE),"Non trouvé")</f>
        <v>Non trouvé</v>
      </c>
      <c r="I21" t="str">
        <f>IFERROR(VLOOKUP(C21,'Registre maintenance'!B:F,4,FALSE),"Non trouvé")</f>
        <v>Non trouvé</v>
      </c>
      <c r="J21" t="str">
        <f>IFERROR(VLOOKUP(C21,'Registre maintenance'!B:F,5,FALSE),"Non trouvé")</f>
        <v>Non trouvé</v>
      </c>
      <c r="K21" t="str">
        <f t="shared" si="0"/>
        <v>Mismatch</v>
      </c>
    </row>
    <row r="22" spans="1:11" x14ac:dyDescent="0.3">
      <c r="A22" t="s">
        <v>883</v>
      </c>
      <c r="B22" s="1">
        <v>45229.738194444442</v>
      </c>
      <c r="C22" t="s">
        <v>893</v>
      </c>
      <c r="D22">
        <v>36</v>
      </c>
      <c r="E22" t="s">
        <v>795</v>
      </c>
      <c r="F22" s="4" t="s">
        <v>66</v>
      </c>
      <c r="G22" s="4" t="str">
        <f>IFERROR(VLOOKUP(C22,'Registre maintenance'!B:F,2,FALSE),"Non trouvé")</f>
        <v>Lomami</v>
      </c>
      <c r="H22">
        <f>IFERROR(VLOOKUP(C22,'Registre maintenance'!B:F,3,FALSE),"Non trouvé")</f>
        <v>-11.218453999999999</v>
      </c>
      <c r="I22">
        <f>IFERROR(VLOOKUP(C22,'Registre maintenance'!B:F,4,FALSE),"Non trouvé")</f>
        <v>28.230025000000001</v>
      </c>
      <c r="J22" t="str">
        <f>IFERROR(VLOOKUP(C22,'Registre maintenance'!B:F,5,FALSE),"Non trouvé")</f>
        <v>5G</v>
      </c>
      <c r="K22" t="str">
        <f t="shared" si="0"/>
        <v>OK</v>
      </c>
    </row>
    <row r="23" spans="1:11" x14ac:dyDescent="0.3">
      <c r="A23" t="s">
        <v>790</v>
      </c>
      <c r="B23" s="1">
        <v>45217.96875</v>
      </c>
      <c r="C23" t="s">
        <v>827</v>
      </c>
      <c r="D23">
        <v>97</v>
      </c>
      <c r="E23" t="s">
        <v>795</v>
      </c>
      <c r="F23" s="4" t="s">
        <v>28</v>
      </c>
      <c r="G23" s="4" t="str">
        <f>IFERROR(VLOOKUP(C23,'Registre maintenance'!B:F,2,FALSE),"Non trouvé")</f>
        <v>Kasai</v>
      </c>
      <c r="H23">
        <f>IFERROR(VLOOKUP(C23,'Registre maintenance'!B:F,3,FALSE),"Non trouvé")</f>
        <v>-10.059846</v>
      </c>
      <c r="I23">
        <f>IFERROR(VLOOKUP(C23,'Registre maintenance'!B:F,4,FALSE),"Non trouvé")</f>
        <v>14.375757999999999</v>
      </c>
      <c r="J23" t="str">
        <f>IFERROR(VLOOKUP(C23,'Registre maintenance'!B:F,5,FALSE),"Non trouvé")</f>
        <v>4G</v>
      </c>
      <c r="K23" t="str">
        <f t="shared" si="0"/>
        <v>OK</v>
      </c>
    </row>
    <row r="24" spans="1:11" x14ac:dyDescent="0.3">
      <c r="A24" t="s">
        <v>790</v>
      </c>
      <c r="B24" s="1">
        <v>45213.311111111107</v>
      </c>
      <c r="C24" t="s">
        <v>804</v>
      </c>
      <c r="D24">
        <v>22</v>
      </c>
      <c r="E24" t="s">
        <v>795</v>
      </c>
      <c r="F24" s="4" t="str">
        <f>F23</f>
        <v>Kasai</v>
      </c>
      <c r="G24" s="4" t="str">
        <f>IFERROR(VLOOKUP(C24,'Registre maintenance'!B:F,2,FALSE),"Non trouvé")</f>
        <v>Non trouvé</v>
      </c>
      <c r="H24" t="str">
        <f>IFERROR(VLOOKUP(C24,'Registre maintenance'!B:F,3,FALSE),"Non trouvé")</f>
        <v>Non trouvé</v>
      </c>
      <c r="I24" t="str">
        <f>IFERROR(VLOOKUP(C24,'Registre maintenance'!B:F,4,FALSE),"Non trouvé")</f>
        <v>Non trouvé</v>
      </c>
      <c r="J24" t="str">
        <f>IFERROR(VLOOKUP(C24,'Registre maintenance'!B:F,5,FALSE),"Non trouvé")</f>
        <v>Non trouvé</v>
      </c>
      <c r="K24" t="str">
        <f t="shared" si="0"/>
        <v>Mismatch</v>
      </c>
    </row>
    <row r="25" spans="1:11" x14ac:dyDescent="0.3">
      <c r="A25" t="s">
        <v>790</v>
      </c>
      <c r="B25" s="1">
        <v>45218.368750000001</v>
      </c>
      <c r="C25" t="s">
        <v>805</v>
      </c>
      <c r="D25">
        <v>70</v>
      </c>
      <c r="E25" t="s">
        <v>792</v>
      </c>
      <c r="F25" s="4" t="s">
        <v>66</v>
      </c>
      <c r="G25" s="4" t="str">
        <f>IFERROR(VLOOKUP(C25,'Registre maintenance'!B:F,2,FALSE),"Non trouvé")</f>
        <v>Lomami</v>
      </c>
      <c r="H25">
        <f>IFERROR(VLOOKUP(C25,'Registre maintenance'!B:F,3,FALSE),"Non trouvé")</f>
        <v>-8.4227860000000003</v>
      </c>
      <c r="I25">
        <f>IFERROR(VLOOKUP(C25,'Registre maintenance'!B:F,4,FALSE),"Non trouvé")</f>
        <v>16.781293000000002</v>
      </c>
      <c r="J25" t="str">
        <f>IFERROR(VLOOKUP(C25,'Registre maintenance'!B:F,5,FALSE),"Non trouvé")</f>
        <v>4G</v>
      </c>
      <c r="K25" t="str">
        <f t="shared" si="0"/>
        <v>OK</v>
      </c>
    </row>
    <row r="26" spans="1:11" x14ac:dyDescent="0.3">
      <c r="A26" t="s">
        <v>790</v>
      </c>
      <c r="B26" s="1">
        <v>45208.073611111111</v>
      </c>
      <c r="C26" t="s">
        <v>805</v>
      </c>
      <c r="D26">
        <v>85</v>
      </c>
      <c r="E26" t="s">
        <v>795</v>
      </c>
      <c r="F26" s="4" t="s">
        <v>66</v>
      </c>
      <c r="G26" s="4" t="str">
        <f>IFERROR(VLOOKUP(C26,'Registre maintenance'!B:F,2,FALSE),"Non trouvé")</f>
        <v>Lomami</v>
      </c>
      <c r="H26">
        <f>IFERROR(VLOOKUP(C26,'Registre maintenance'!B:F,3,FALSE),"Non trouvé")</f>
        <v>-8.4227860000000003</v>
      </c>
      <c r="I26">
        <f>IFERROR(VLOOKUP(C26,'Registre maintenance'!B:F,4,FALSE),"Non trouvé")</f>
        <v>16.781293000000002</v>
      </c>
      <c r="J26" t="str">
        <f>IFERROR(VLOOKUP(C26,'Registre maintenance'!B:F,5,FALSE),"Non trouvé")</f>
        <v>4G</v>
      </c>
      <c r="K26" t="str">
        <f t="shared" si="0"/>
        <v>OK</v>
      </c>
    </row>
    <row r="27" spans="1:11" x14ac:dyDescent="0.3">
      <c r="A27" t="s">
        <v>921</v>
      </c>
      <c r="B27" s="1">
        <v>45209.901388888888</v>
      </c>
      <c r="C27" t="s">
        <v>953</v>
      </c>
      <c r="D27">
        <v>68</v>
      </c>
      <c r="E27" t="s">
        <v>795</v>
      </c>
      <c r="F27" s="4" t="s">
        <v>30</v>
      </c>
      <c r="G27" s="4" t="str">
        <f>IFERROR(VLOOKUP(C27,'Registre maintenance'!B:F,2,FALSE),"Non trouvé")</f>
        <v>Sud-Ubangi</v>
      </c>
      <c r="H27">
        <f>IFERROR(VLOOKUP(C27,'Registre maintenance'!B:F,3,FALSE),"Non trouvé")</f>
        <v>-8.3241560000000003</v>
      </c>
      <c r="I27">
        <f>IFERROR(VLOOKUP(C27,'Registre maintenance'!B:F,4,FALSE),"Non trouvé")</f>
        <v>19.543866000000001</v>
      </c>
      <c r="J27" t="str">
        <f>IFERROR(VLOOKUP(C27,'Registre maintenance'!B:F,5,FALSE),"Non trouvé")</f>
        <v>4G</v>
      </c>
      <c r="K27" t="str">
        <f t="shared" si="0"/>
        <v>OK</v>
      </c>
    </row>
    <row r="28" spans="1:11" x14ac:dyDescent="0.3">
      <c r="A28" t="s">
        <v>790</v>
      </c>
      <c r="B28" s="1">
        <v>45227.033333333333</v>
      </c>
      <c r="C28" t="s">
        <v>806</v>
      </c>
      <c r="D28">
        <v>68</v>
      </c>
      <c r="E28" t="s">
        <v>797</v>
      </c>
      <c r="F28" s="4" t="s">
        <v>87</v>
      </c>
      <c r="G28" s="4" t="str">
        <f>IFERROR(VLOOKUP(C28,'Registre maintenance'!B:F,2,FALSE),"Non trouvé")</f>
        <v>Nord-Ubangi</v>
      </c>
      <c r="H28">
        <f>IFERROR(VLOOKUP(C28,'Registre maintenance'!B:F,3,FALSE),"Non trouvé")</f>
        <v>-10.375266999999999</v>
      </c>
      <c r="I28">
        <f>IFERROR(VLOOKUP(C28,'Registre maintenance'!B:F,4,FALSE),"Non trouvé")</f>
        <v>17.993663000000002</v>
      </c>
      <c r="J28" t="str">
        <f>IFERROR(VLOOKUP(C28,'Registre maintenance'!B:F,5,FALSE),"Non trouvé")</f>
        <v>5G</v>
      </c>
      <c r="K28" t="str">
        <f t="shared" si="0"/>
        <v>OK</v>
      </c>
    </row>
    <row r="29" spans="1:11" x14ac:dyDescent="0.3">
      <c r="A29" t="s">
        <v>790</v>
      </c>
      <c r="B29" s="1">
        <v>45225.238888888889</v>
      </c>
      <c r="C29" t="s">
        <v>807</v>
      </c>
      <c r="D29">
        <v>16</v>
      </c>
      <c r="E29" t="s">
        <v>795</v>
      </c>
      <c r="F29" s="4" t="str">
        <f t="shared" ref="F29:F31" si="4">F28</f>
        <v>Nord-Ubangi</v>
      </c>
      <c r="G29" s="4" t="str">
        <f>IFERROR(VLOOKUP(C29,'Registre maintenance'!B:F,2,FALSE),"Non trouvé")</f>
        <v>Non trouvé</v>
      </c>
      <c r="H29" t="str">
        <f>IFERROR(VLOOKUP(C29,'Registre maintenance'!B:F,3,FALSE),"Non trouvé")</f>
        <v>Non trouvé</v>
      </c>
      <c r="I29" t="str">
        <f>IFERROR(VLOOKUP(C29,'Registre maintenance'!B:F,4,FALSE),"Non trouvé")</f>
        <v>Non trouvé</v>
      </c>
      <c r="J29" t="str">
        <f>IFERROR(VLOOKUP(C29,'Registre maintenance'!B:F,5,FALSE),"Non trouvé")</f>
        <v>Non trouvé</v>
      </c>
      <c r="K29" t="str">
        <f t="shared" si="0"/>
        <v>Mismatch</v>
      </c>
    </row>
    <row r="30" spans="1:11" x14ac:dyDescent="0.3">
      <c r="A30" t="s">
        <v>790</v>
      </c>
      <c r="B30" s="1">
        <v>45225.238888888889</v>
      </c>
      <c r="C30" t="s">
        <v>807</v>
      </c>
      <c r="D30">
        <v>16</v>
      </c>
      <c r="E30" t="s">
        <v>795</v>
      </c>
      <c r="F30" s="4" t="str">
        <f t="shared" si="4"/>
        <v>Nord-Ubangi</v>
      </c>
      <c r="G30" s="4" t="str">
        <f>IFERROR(VLOOKUP(C30,'Registre maintenance'!B:F,2,FALSE),"Non trouvé")</f>
        <v>Non trouvé</v>
      </c>
      <c r="H30" t="str">
        <f>IFERROR(VLOOKUP(C30,'Registre maintenance'!B:F,3,FALSE),"Non trouvé")</f>
        <v>Non trouvé</v>
      </c>
      <c r="I30" t="str">
        <f>IFERROR(VLOOKUP(C30,'Registre maintenance'!B:F,4,FALSE),"Non trouvé")</f>
        <v>Non trouvé</v>
      </c>
      <c r="J30" t="str">
        <f>IFERROR(VLOOKUP(C30,'Registre maintenance'!B:F,5,FALSE),"Non trouvé")</f>
        <v>Non trouvé</v>
      </c>
      <c r="K30" t="str">
        <f t="shared" si="0"/>
        <v>Mismatch</v>
      </c>
    </row>
    <row r="31" spans="1:11" x14ac:dyDescent="0.3">
      <c r="A31" t="s">
        <v>1059</v>
      </c>
      <c r="B31" s="1">
        <v>45200.115972222222</v>
      </c>
      <c r="C31" t="s">
        <v>807</v>
      </c>
      <c r="D31">
        <v>111</v>
      </c>
      <c r="E31" t="s">
        <v>797</v>
      </c>
      <c r="F31" s="4" t="str">
        <f t="shared" si="4"/>
        <v>Nord-Ubangi</v>
      </c>
      <c r="G31" s="4" t="str">
        <f>IFERROR(VLOOKUP(C31,'Registre maintenance'!B:F,2,FALSE),"Non trouvé")</f>
        <v>Non trouvé</v>
      </c>
      <c r="H31" t="str">
        <f>IFERROR(VLOOKUP(C31,'Registre maintenance'!B:F,3,FALSE),"Non trouvé")</f>
        <v>Non trouvé</v>
      </c>
      <c r="I31" t="str">
        <f>IFERROR(VLOOKUP(C31,'Registre maintenance'!B:F,4,FALSE),"Non trouvé")</f>
        <v>Non trouvé</v>
      </c>
      <c r="J31" t="str">
        <f>IFERROR(VLOOKUP(C31,'Registre maintenance'!B:F,5,FALSE),"Non trouvé")</f>
        <v>Non trouvé</v>
      </c>
      <c r="K31" t="str">
        <f t="shared" si="0"/>
        <v>Mismatch</v>
      </c>
    </row>
    <row r="32" spans="1:11" x14ac:dyDescent="0.3">
      <c r="A32" t="s">
        <v>921</v>
      </c>
      <c r="B32" s="1">
        <v>45221.517361111109</v>
      </c>
      <c r="C32" t="s">
        <v>948</v>
      </c>
      <c r="D32">
        <v>83</v>
      </c>
      <c r="E32" t="s">
        <v>797</v>
      </c>
      <c r="F32" s="4" t="s">
        <v>20</v>
      </c>
      <c r="G32" s="4" t="str">
        <f>IFERROR(VLOOKUP(C32,'Registre maintenance'!B:F,2,FALSE),"Non trouvé")</f>
        <v>Sud-Kivu</v>
      </c>
      <c r="H32">
        <f>IFERROR(VLOOKUP(C32,'Registre maintenance'!B:F,3,FALSE),"Non trouvé")</f>
        <v>-2.9651529999999999</v>
      </c>
      <c r="I32">
        <f>IFERROR(VLOOKUP(C32,'Registre maintenance'!B:F,4,FALSE),"Non trouvé")</f>
        <v>29.79908</v>
      </c>
      <c r="J32" t="str">
        <f>IFERROR(VLOOKUP(C32,'Registre maintenance'!B:F,5,FALSE),"Non trouvé")</f>
        <v>4G</v>
      </c>
      <c r="K32" t="str">
        <f t="shared" si="0"/>
        <v>OK</v>
      </c>
    </row>
    <row r="33" spans="1:11" x14ac:dyDescent="0.3">
      <c r="A33" t="s">
        <v>1059</v>
      </c>
      <c r="B33" s="1">
        <v>45218.675694444442</v>
      </c>
      <c r="C33" t="s">
        <v>948</v>
      </c>
      <c r="D33">
        <v>37</v>
      </c>
      <c r="E33" t="s">
        <v>797</v>
      </c>
      <c r="F33" s="4" t="s">
        <v>20</v>
      </c>
      <c r="G33" s="4" t="str">
        <f>IFERROR(VLOOKUP(C33,'Registre maintenance'!B:F,2,FALSE),"Non trouvé")</f>
        <v>Sud-Kivu</v>
      </c>
      <c r="H33">
        <f>IFERROR(VLOOKUP(C33,'Registre maintenance'!B:F,3,FALSE),"Non trouvé")</f>
        <v>-2.9651529999999999</v>
      </c>
      <c r="I33">
        <f>IFERROR(VLOOKUP(C33,'Registre maintenance'!B:F,4,FALSE),"Non trouvé")</f>
        <v>29.79908</v>
      </c>
      <c r="J33" t="str">
        <f>IFERROR(VLOOKUP(C33,'Registre maintenance'!B:F,5,FALSE),"Non trouvé")</f>
        <v>4G</v>
      </c>
      <c r="K33" t="str">
        <f t="shared" si="0"/>
        <v>OK</v>
      </c>
    </row>
    <row r="34" spans="1:11" x14ac:dyDescent="0.3">
      <c r="A34" t="s">
        <v>1084</v>
      </c>
      <c r="B34" s="1">
        <v>45205.052083333343</v>
      </c>
      <c r="C34" t="s">
        <v>1095</v>
      </c>
      <c r="D34">
        <v>81</v>
      </c>
      <c r="E34" t="s">
        <v>797</v>
      </c>
      <c r="F34" s="4" t="s">
        <v>28</v>
      </c>
      <c r="G34" s="4" t="str">
        <f>IFERROR(VLOOKUP(C34,'Registre maintenance'!B:F,2,FALSE),"Non trouvé")</f>
        <v>Kasai</v>
      </c>
      <c r="H34">
        <f>IFERROR(VLOOKUP(C34,'Registre maintenance'!B:F,3,FALSE),"Non trouvé")</f>
        <v>1.5802860000000001</v>
      </c>
      <c r="I34">
        <f>IFERROR(VLOOKUP(C34,'Registre maintenance'!B:F,4,FALSE),"Non trouvé")</f>
        <v>20.99053</v>
      </c>
      <c r="J34" t="str">
        <f>IFERROR(VLOOKUP(C34,'Registre maintenance'!B:F,5,FALSE),"Non trouvé")</f>
        <v>4G</v>
      </c>
      <c r="K34" t="str">
        <f t="shared" si="0"/>
        <v>OK</v>
      </c>
    </row>
    <row r="35" spans="1:11" x14ac:dyDescent="0.3">
      <c r="A35" t="s">
        <v>790</v>
      </c>
      <c r="B35" s="1">
        <v>45213.428472222222</v>
      </c>
      <c r="C35" t="s">
        <v>808</v>
      </c>
      <c r="D35">
        <v>101</v>
      </c>
      <c r="E35" t="s">
        <v>795</v>
      </c>
      <c r="F35" s="4" t="str">
        <f t="shared" ref="F35:F36" si="5">F34</f>
        <v>Kasai</v>
      </c>
      <c r="G35" s="4" t="str">
        <f>IFERROR(VLOOKUP(C35,'Registre maintenance'!B:F,2,FALSE),"Non trouvé")</f>
        <v>Non trouvé</v>
      </c>
      <c r="H35" t="str">
        <f>IFERROR(VLOOKUP(C35,'Registre maintenance'!B:F,3,FALSE),"Non trouvé")</f>
        <v>Non trouvé</v>
      </c>
      <c r="I35" t="str">
        <f>IFERROR(VLOOKUP(C35,'Registre maintenance'!B:F,4,FALSE),"Non trouvé")</f>
        <v>Non trouvé</v>
      </c>
      <c r="J35" t="str">
        <f>IFERROR(VLOOKUP(C35,'Registre maintenance'!B:F,5,FALSE),"Non trouvé")</f>
        <v>Non trouvé</v>
      </c>
      <c r="K35" t="str">
        <f t="shared" si="0"/>
        <v>Mismatch</v>
      </c>
    </row>
    <row r="36" spans="1:11" x14ac:dyDescent="0.3">
      <c r="A36" t="s">
        <v>1059</v>
      </c>
      <c r="C36" t="s">
        <v>808</v>
      </c>
      <c r="D36">
        <v>10</v>
      </c>
      <c r="E36" t="s">
        <v>795</v>
      </c>
      <c r="F36" s="4" t="str">
        <f t="shared" si="5"/>
        <v>Kasai</v>
      </c>
      <c r="G36" s="4" t="str">
        <f>IFERROR(VLOOKUP(C36,'Registre maintenance'!B:F,2,FALSE),"Non trouvé")</f>
        <v>Non trouvé</v>
      </c>
      <c r="H36" t="str">
        <f>IFERROR(VLOOKUP(C36,'Registre maintenance'!B:F,3,FALSE),"Non trouvé")</f>
        <v>Non trouvé</v>
      </c>
      <c r="I36" t="str">
        <f>IFERROR(VLOOKUP(C36,'Registre maintenance'!B:F,4,FALSE),"Non trouvé")</f>
        <v>Non trouvé</v>
      </c>
      <c r="J36" t="str">
        <f>IFERROR(VLOOKUP(C36,'Registre maintenance'!B:F,5,FALSE),"Non trouvé")</f>
        <v>Non trouvé</v>
      </c>
      <c r="K36" t="str">
        <f t="shared" si="0"/>
        <v>Mismatch</v>
      </c>
    </row>
    <row r="37" spans="1:11" x14ac:dyDescent="0.3">
      <c r="A37" t="s">
        <v>883</v>
      </c>
      <c r="B37" s="1">
        <v>45229.443749999999</v>
      </c>
      <c r="C37" t="s">
        <v>897</v>
      </c>
      <c r="D37">
        <v>5</v>
      </c>
      <c r="E37" t="s">
        <v>792</v>
      </c>
      <c r="F37" s="4" t="s">
        <v>32</v>
      </c>
      <c r="G37" s="4" t="str">
        <f>IFERROR(VLOOKUP(C37,'Registre maintenance'!B:F,2,FALSE),"Non trouvé")</f>
        <v>Kasai-Central</v>
      </c>
      <c r="H37">
        <f>IFERROR(VLOOKUP(C37,'Registre maintenance'!B:F,3,FALSE),"Non trouvé")</f>
        <v>-6.6803710000000001</v>
      </c>
      <c r="I37">
        <f>IFERROR(VLOOKUP(C37,'Registre maintenance'!B:F,4,FALSE),"Non trouvé")</f>
        <v>21.955673000000001</v>
      </c>
      <c r="J37" t="str">
        <f>IFERROR(VLOOKUP(C37,'Registre maintenance'!B:F,5,FALSE),"Non trouvé")</f>
        <v>4G</v>
      </c>
      <c r="K37" t="str">
        <f t="shared" si="0"/>
        <v>OK</v>
      </c>
    </row>
    <row r="38" spans="1:11" x14ac:dyDescent="0.3">
      <c r="A38" t="s">
        <v>839</v>
      </c>
      <c r="B38" s="1">
        <v>45222.631249999999</v>
      </c>
      <c r="C38" t="s">
        <v>861</v>
      </c>
      <c r="D38">
        <v>90</v>
      </c>
      <c r="E38" t="s">
        <v>792</v>
      </c>
      <c r="F38" s="4" t="s">
        <v>36</v>
      </c>
      <c r="G38" s="4" t="str">
        <f>IFERROR(VLOOKUP(C38,'Registre maintenance'!B:F,2,FALSE),"Non trouvé")</f>
        <v>Tanganyika</v>
      </c>
      <c r="H38">
        <f>IFERROR(VLOOKUP(C38,'Registre maintenance'!B:F,3,FALSE),"Non trouvé")</f>
        <v>-2.099631</v>
      </c>
      <c r="I38">
        <f>IFERROR(VLOOKUP(C38,'Registre maintenance'!B:F,4,FALSE),"Non trouvé")</f>
        <v>13.974640000000001</v>
      </c>
      <c r="J38" t="str">
        <f>IFERROR(VLOOKUP(C38,'Registre maintenance'!B:F,5,FALSE),"Non trouvé")</f>
        <v>3G</v>
      </c>
      <c r="K38" t="str">
        <f t="shared" si="0"/>
        <v>OK</v>
      </c>
    </row>
    <row r="39" spans="1:11" x14ac:dyDescent="0.3">
      <c r="A39" t="s">
        <v>790</v>
      </c>
      <c r="B39" s="1">
        <v>45204.283333333333</v>
      </c>
      <c r="C39" t="s">
        <v>809</v>
      </c>
      <c r="D39">
        <v>11</v>
      </c>
      <c r="E39" t="s">
        <v>797</v>
      </c>
      <c r="F39" s="4" t="str">
        <f t="shared" ref="F39:F40" si="6">F38</f>
        <v>Tanganyika</v>
      </c>
      <c r="G39" s="4" t="str">
        <f>IFERROR(VLOOKUP(C39,'Registre maintenance'!B:F,2,FALSE),"Non trouvé")</f>
        <v>Non trouvé</v>
      </c>
      <c r="H39" t="str">
        <f>IFERROR(VLOOKUP(C39,'Registre maintenance'!B:F,3,FALSE),"Non trouvé")</f>
        <v>Non trouvé</v>
      </c>
      <c r="I39" t="str">
        <f>IFERROR(VLOOKUP(C39,'Registre maintenance'!B:F,4,FALSE),"Non trouvé")</f>
        <v>Non trouvé</v>
      </c>
      <c r="J39" t="str">
        <f>IFERROR(VLOOKUP(C39,'Registre maintenance'!B:F,5,FALSE),"Non trouvé")</f>
        <v>Non trouvé</v>
      </c>
      <c r="K39" t="str">
        <f t="shared" si="0"/>
        <v>Mismatch</v>
      </c>
    </row>
    <row r="40" spans="1:11" x14ac:dyDescent="0.3">
      <c r="A40" t="s">
        <v>962</v>
      </c>
      <c r="B40" s="1">
        <v>45215.376388888893</v>
      </c>
      <c r="C40" t="s">
        <v>809</v>
      </c>
      <c r="D40">
        <v>65</v>
      </c>
      <c r="E40" t="s">
        <v>797</v>
      </c>
      <c r="F40" s="4" t="str">
        <f t="shared" si="6"/>
        <v>Tanganyika</v>
      </c>
      <c r="G40" s="4" t="str">
        <f>IFERROR(VLOOKUP(C40,'Registre maintenance'!B:F,2,FALSE),"Non trouvé")</f>
        <v>Non trouvé</v>
      </c>
      <c r="H40" t="str">
        <f>IFERROR(VLOOKUP(C40,'Registre maintenance'!B:F,3,FALSE),"Non trouvé")</f>
        <v>Non trouvé</v>
      </c>
      <c r="I40" t="str">
        <f>IFERROR(VLOOKUP(C40,'Registre maintenance'!B:F,4,FALSE),"Non trouvé")</f>
        <v>Non trouvé</v>
      </c>
      <c r="J40" t="str">
        <f>IFERROR(VLOOKUP(C40,'Registre maintenance'!B:F,5,FALSE),"Non trouvé")</f>
        <v>Non trouvé</v>
      </c>
      <c r="K40" t="str">
        <f t="shared" si="0"/>
        <v>Mismatch</v>
      </c>
    </row>
    <row r="41" spans="1:11" x14ac:dyDescent="0.3">
      <c r="A41" t="s">
        <v>790</v>
      </c>
      <c r="B41" s="1">
        <v>45201.884722222218</v>
      </c>
      <c r="C41" t="s">
        <v>818</v>
      </c>
      <c r="D41">
        <v>54</v>
      </c>
      <c r="E41" t="s">
        <v>797</v>
      </c>
      <c r="F41" s="4" t="s">
        <v>129</v>
      </c>
      <c r="G41" s="4" t="str">
        <f>IFERROR(VLOOKUP(C41,'Registre maintenance'!B:F,2,FALSE),"Non trouvé")</f>
        <v>Nord-Kivu</v>
      </c>
      <c r="H41">
        <f>IFERROR(VLOOKUP(C41,'Registre maintenance'!B:F,3,FALSE),"Non trouvé")</f>
        <v>4.6287159999999998</v>
      </c>
      <c r="I41">
        <f>IFERROR(VLOOKUP(C41,'Registre maintenance'!B:F,4,FALSE),"Non trouvé")</f>
        <v>19.407077999999998</v>
      </c>
      <c r="J41" t="str">
        <f>IFERROR(VLOOKUP(C41,'Registre maintenance'!B:F,5,FALSE),"Non trouvé")</f>
        <v>4G</v>
      </c>
      <c r="K41" t="str">
        <f t="shared" si="0"/>
        <v>OK</v>
      </c>
    </row>
    <row r="42" spans="1:11" x14ac:dyDescent="0.3">
      <c r="A42" t="s">
        <v>999</v>
      </c>
      <c r="B42" s="1">
        <v>45211.477083333331</v>
      </c>
      <c r="C42" t="s">
        <v>818</v>
      </c>
      <c r="D42">
        <v>111</v>
      </c>
      <c r="E42" t="s">
        <v>792</v>
      </c>
      <c r="F42" s="4" t="s">
        <v>129</v>
      </c>
      <c r="G42" s="4" t="str">
        <f>IFERROR(VLOOKUP(C42,'Registre maintenance'!B:F,2,FALSE),"Non trouvé")</f>
        <v>Nord-Kivu</v>
      </c>
      <c r="H42">
        <f>IFERROR(VLOOKUP(C42,'Registre maintenance'!B:F,3,FALSE),"Non trouvé")</f>
        <v>4.6287159999999998</v>
      </c>
      <c r="I42">
        <f>IFERROR(VLOOKUP(C42,'Registre maintenance'!B:F,4,FALSE),"Non trouvé")</f>
        <v>19.407077999999998</v>
      </c>
      <c r="J42" t="str">
        <f>IFERROR(VLOOKUP(C42,'Registre maintenance'!B:F,5,FALSE),"Non trouvé")</f>
        <v>4G</v>
      </c>
      <c r="K42" t="str">
        <f t="shared" si="0"/>
        <v>OK</v>
      </c>
    </row>
    <row r="43" spans="1:11" x14ac:dyDescent="0.3">
      <c r="A43" t="s">
        <v>790</v>
      </c>
      <c r="B43" s="1">
        <v>45210.128472222219</v>
      </c>
      <c r="C43" t="s">
        <v>810</v>
      </c>
      <c r="D43">
        <v>115</v>
      </c>
      <c r="E43" t="s">
        <v>792</v>
      </c>
      <c r="F43" s="4" t="str">
        <f t="shared" ref="F43:F44" si="7">F42</f>
        <v>Nord-Kivu</v>
      </c>
      <c r="G43" s="4" t="str">
        <f>IFERROR(VLOOKUP(C43,'Registre maintenance'!B:F,2,FALSE),"Non trouvé")</f>
        <v>Non trouvé</v>
      </c>
      <c r="H43" t="str">
        <f>IFERROR(VLOOKUP(C43,'Registre maintenance'!B:F,3,FALSE),"Non trouvé")</f>
        <v>Non trouvé</v>
      </c>
      <c r="I43" t="str">
        <f>IFERROR(VLOOKUP(C43,'Registre maintenance'!B:F,4,FALSE),"Non trouvé")</f>
        <v>Non trouvé</v>
      </c>
      <c r="J43" t="str">
        <f>IFERROR(VLOOKUP(C43,'Registre maintenance'!B:F,5,FALSE),"Non trouvé")</f>
        <v>Non trouvé</v>
      </c>
      <c r="K43" t="str">
        <f t="shared" si="0"/>
        <v>Mismatch</v>
      </c>
    </row>
    <row r="44" spans="1:11" x14ac:dyDescent="0.3">
      <c r="A44" t="s">
        <v>790</v>
      </c>
      <c r="B44" s="1">
        <v>45227.484722222223</v>
      </c>
      <c r="C44" t="s">
        <v>812</v>
      </c>
      <c r="D44">
        <v>24</v>
      </c>
      <c r="E44" t="s">
        <v>795</v>
      </c>
      <c r="F44" s="4" t="str">
        <f t="shared" si="7"/>
        <v>Nord-Kivu</v>
      </c>
      <c r="G44" s="4" t="str">
        <f>IFERROR(VLOOKUP(C44,'Registre maintenance'!B:F,2,FALSE),"Non trouvé")</f>
        <v>Non trouvé</v>
      </c>
      <c r="H44" t="str">
        <f>IFERROR(VLOOKUP(C44,'Registre maintenance'!B:F,3,FALSE),"Non trouvé")</f>
        <v>Non trouvé</v>
      </c>
      <c r="I44" t="str">
        <f>IFERROR(VLOOKUP(C44,'Registre maintenance'!B:F,4,FALSE),"Non trouvé")</f>
        <v>Non trouvé</v>
      </c>
      <c r="J44" t="str">
        <f>IFERROR(VLOOKUP(C44,'Registre maintenance'!B:F,5,FALSE),"Non trouvé")</f>
        <v>Non trouvé</v>
      </c>
      <c r="K44" t="str">
        <f t="shared" si="0"/>
        <v>Mismatch</v>
      </c>
    </row>
    <row r="45" spans="1:11" x14ac:dyDescent="0.3">
      <c r="A45" t="s">
        <v>839</v>
      </c>
      <c r="B45" s="1">
        <v>45203.760416666657</v>
      </c>
      <c r="C45" t="s">
        <v>871</v>
      </c>
      <c r="D45">
        <v>18</v>
      </c>
      <c r="E45" t="s">
        <v>797</v>
      </c>
      <c r="F45" s="4" t="s">
        <v>87</v>
      </c>
      <c r="G45" s="4" t="str">
        <f>IFERROR(VLOOKUP(C45,'Registre maintenance'!B:F,2,FALSE),"Non trouvé")</f>
        <v>Nord-Ubangi</v>
      </c>
      <c r="H45">
        <f>IFERROR(VLOOKUP(C45,'Registre maintenance'!B:F,3,FALSE),"Non trouvé")</f>
        <v>0.94539899999999999</v>
      </c>
      <c r="I45">
        <f>IFERROR(VLOOKUP(C45,'Registre maintenance'!B:F,4,FALSE),"Non trouvé")</f>
        <v>14.401821999999999</v>
      </c>
      <c r="J45" t="str">
        <f>IFERROR(VLOOKUP(C45,'Registre maintenance'!B:F,5,FALSE),"Non trouvé")</f>
        <v>5G</v>
      </c>
      <c r="K45" t="str">
        <f t="shared" si="0"/>
        <v>OK</v>
      </c>
    </row>
    <row r="46" spans="1:11" x14ac:dyDescent="0.3">
      <c r="A46" t="s">
        <v>790</v>
      </c>
      <c r="B46" s="1">
        <v>45214.713194444441</v>
      </c>
      <c r="C46" t="s">
        <v>813</v>
      </c>
      <c r="D46">
        <v>25</v>
      </c>
      <c r="E46" t="s">
        <v>792</v>
      </c>
      <c r="F46" s="4" t="s">
        <v>23</v>
      </c>
      <c r="G46" s="4" t="str">
        <f>IFERROR(VLOOKUP(C46,'Registre maintenance'!B:F,2,FALSE),"Non trouvé")</f>
        <v>Haut-Katanga</v>
      </c>
      <c r="H46">
        <f>IFERROR(VLOOKUP(C46,'Registre maintenance'!B:F,3,FALSE),"Non trouvé")</f>
        <v>0.172153</v>
      </c>
      <c r="I46">
        <f>IFERROR(VLOOKUP(C46,'Registre maintenance'!B:F,4,FALSE),"Non trouvé")</f>
        <v>21.091376</v>
      </c>
      <c r="J46" t="str">
        <f>IFERROR(VLOOKUP(C46,'Registre maintenance'!B:F,5,FALSE),"Non trouvé")</f>
        <v>3G</v>
      </c>
      <c r="K46" t="str">
        <f t="shared" si="0"/>
        <v>OK</v>
      </c>
    </row>
    <row r="47" spans="1:11" x14ac:dyDescent="0.3">
      <c r="A47" t="s">
        <v>962</v>
      </c>
      <c r="B47" s="1">
        <v>45201.574305555558</v>
      </c>
      <c r="C47" t="s">
        <v>813</v>
      </c>
      <c r="D47">
        <v>75</v>
      </c>
      <c r="E47" t="s">
        <v>797</v>
      </c>
      <c r="F47" s="4" t="s">
        <v>23</v>
      </c>
      <c r="G47" s="4" t="str">
        <f>IFERROR(VLOOKUP(C47,'Registre maintenance'!B:F,2,FALSE),"Non trouvé")</f>
        <v>Haut-Katanga</v>
      </c>
      <c r="H47">
        <f>IFERROR(VLOOKUP(C47,'Registre maintenance'!B:F,3,FALSE),"Non trouvé")</f>
        <v>0.172153</v>
      </c>
      <c r="I47">
        <f>IFERROR(VLOOKUP(C47,'Registre maintenance'!B:F,4,FALSE),"Non trouvé")</f>
        <v>21.091376</v>
      </c>
      <c r="J47" t="str">
        <f>IFERROR(VLOOKUP(C47,'Registre maintenance'!B:F,5,FALSE),"Non trouvé")</f>
        <v>3G</v>
      </c>
      <c r="K47" t="str">
        <f t="shared" si="0"/>
        <v>OK</v>
      </c>
    </row>
    <row r="48" spans="1:11" x14ac:dyDescent="0.3">
      <c r="A48" t="s">
        <v>999</v>
      </c>
      <c r="B48" s="1">
        <v>45225.215277777781</v>
      </c>
      <c r="C48" t="s">
        <v>1028</v>
      </c>
      <c r="D48">
        <v>41</v>
      </c>
      <c r="E48" t="s">
        <v>797</v>
      </c>
      <c r="F48" s="4" t="s">
        <v>43</v>
      </c>
      <c r="G48" s="4" t="str">
        <f>IFERROR(VLOOKUP(C48,'Registre maintenance'!B:F,2,FALSE),"Non trouvé")</f>
        <v>Mai-Ndombe</v>
      </c>
      <c r="H48">
        <f>IFERROR(VLOOKUP(C48,'Registre maintenance'!B:F,3,FALSE),"Non trouvé")</f>
        <v>-4.9552579999999997</v>
      </c>
      <c r="I48">
        <f>IFERROR(VLOOKUP(C48,'Registre maintenance'!B:F,4,FALSE),"Non trouvé")</f>
        <v>22.008103999999999</v>
      </c>
      <c r="J48" t="str">
        <f>IFERROR(VLOOKUP(C48,'Registre maintenance'!B:F,5,FALSE),"Non trouvé")</f>
        <v>4G</v>
      </c>
      <c r="K48" t="str">
        <f t="shared" si="0"/>
        <v>OK</v>
      </c>
    </row>
    <row r="49" spans="1:11" x14ac:dyDescent="0.3">
      <c r="A49" t="s">
        <v>790</v>
      </c>
      <c r="B49" s="1">
        <v>45229.503472222219</v>
      </c>
      <c r="C49" t="s">
        <v>814</v>
      </c>
      <c r="D49">
        <v>106</v>
      </c>
      <c r="E49" t="s">
        <v>795</v>
      </c>
      <c r="F49" s="4" t="str">
        <f t="shared" ref="F49:F50" si="8">F48</f>
        <v>Mai-Ndombe</v>
      </c>
      <c r="G49" s="4" t="str">
        <f>IFERROR(VLOOKUP(C49,'Registre maintenance'!B:F,2,FALSE),"Non trouvé")</f>
        <v>Non trouvé</v>
      </c>
      <c r="H49" t="str">
        <f>IFERROR(VLOOKUP(C49,'Registre maintenance'!B:F,3,FALSE),"Non trouvé")</f>
        <v>Non trouvé</v>
      </c>
      <c r="I49" t="str">
        <f>IFERROR(VLOOKUP(C49,'Registre maintenance'!B:F,4,FALSE),"Non trouvé")</f>
        <v>Non trouvé</v>
      </c>
      <c r="J49" t="str">
        <f>IFERROR(VLOOKUP(C49,'Registre maintenance'!B:F,5,FALSE),"Non trouvé")</f>
        <v>Non trouvé</v>
      </c>
      <c r="K49" t="str">
        <f t="shared" si="0"/>
        <v>Mismatch</v>
      </c>
    </row>
    <row r="50" spans="1:11" x14ac:dyDescent="0.3">
      <c r="A50" t="s">
        <v>790</v>
      </c>
      <c r="B50" s="1">
        <v>45217.411805555559</v>
      </c>
      <c r="C50" t="s">
        <v>815</v>
      </c>
      <c r="D50">
        <v>92</v>
      </c>
      <c r="E50" t="s">
        <v>797</v>
      </c>
      <c r="F50" s="4" t="str">
        <f t="shared" si="8"/>
        <v>Mai-Ndombe</v>
      </c>
      <c r="G50" s="4" t="str">
        <f>IFERROR(VLOOKUP(C50,'Registre maintenance'!B:F,2,FALSE),"Non trouvé")</f>
        <v>Non trouvé</v>
      </c>
      <c r="H50" t="str">
        <f>IFERROR(VLOOKUP(C50,'Registre maintenance'!B:F,3,FALSE),"Non trouvé")</f>
        <v>Non trouvé</v>
      </c>
      <c r="I50" t="str">
        <f>IFERROR(VLOOKUP(C50,'Registre maintenance'!B:F,4,FALSE),"Non trouvé")</f>
        <v>Non trouvé</v>
      </c>
      <c r="J50" t="str">
        <f>IFERROR(VLOOKUP(C50,'Registre maintenance'!B:F,5,FALSE),"Non trouvé")</f>
        <v>Non trouvé</v>
      </c>
      <c r="K50" t="str">
        <f t="shared" si="0"/>
        <v>Mismatch</v>
      </c>
    </row>
    <row r="51" spans="1:11" x14ac:dyDescent="0.3">
      <c r="A51" t="s">
        <v>1059</v>
      </c>
      <c r="B51" s="1">
        <v>45205.47152777778</v>
      </c>
      <c r="C51" t="s">
        <v>1074</v>
      </c>
      <c r="D51">
        <v>50</v>
      </c>
      <c r="E51" t="s">
        <v>795</v>
      </c>
      <c r="F51" s="4" t="s">
        <v>17</v>
      </c>
      <c r="G51" s="4" t="str">
        <f>IFERROR(VLOOKUP(C51,'Registre maintenance'!B:F,2,FALSE),"Non trouvé")</f>
        <v>Haut-Lomami</v>
      </c>
      <c r="H51">
        <f>IFERROR(VLOOKUP(C51,'Registre maintenance'!B:F,3,FALSE),"Non trouvé")</f>
        <v>2.628638</v>
      </c>
      <c r="I51">
        <f>IFERROR(VLOOKUP(C51,'Registre maintenance'!B:F,4,FALSE),"Non trouvé")</f>
        <v>28.420582</v>
      </c>
      <c r="J51" t="str">
        <f>IFERROR(VLOOKUP(C51,'Registre maintenance'!B:F,5,FALSE),"Non trouvé")</f>
        <v>4G</v>
      </c>
      <c r="K51" t="str">
        <f t="shared" si="0"/>
        <v>OK</v>
      </c>
    </row>
    <row r="52" spans="1:11" x14ac:dyDescent="0.3">
      <c r="A52" t="s">
        <v>790</v>
      </c>
      <c r="B52" s="1">
        <v>45220.830555555563</v>
      </c>
      <c r="C52" t="s">
        <v>816</v>
      </c>
      <c r="D52">
        <v>59</v>
      </c>
      <c r="E52" t="s">
        <v>797</v>
      </c>
      <c r="F52" s="4" t="str">
        <f>F51</f>
        <v>Haut-Lomami</v>
      </c>
      <c r="G52" s="4" t="str">
        <f>IFERROR(VLOOKUP(C52,'Registre maintenance'!B:F,2,FALSE),"Non trouvé")</f>
        <v>Non trouvé</v>
      </c>
      <c r="H52" t="str">
        <f>IFERROR(VLOOKUP(C52,'Registre maintenance'!B:F,3,FALSE),"Non trouvé")</f>
        <v>Non trouvé</v>
      </c>
      <c r="I52" t="str">
        <f>IFERROR(VLOOKUP(C52,'Registre maintenance'!B:F,4,FALSE),"Non trouvé")</f>
        <v>Non trouvé</v>
      </c>
      <c r="J52" t="str">
        <f>IFERROR(VLOOKUP(C52,'Registre maintenance'!B:F,5,FALSE),"Non trouvé")</f>
        <v>Non trouvé</v>
      </c>
      <c r="K52" t="str">
        <f t="shared" si="0"/>
        <v>Mismatch</v>
      </c>
    </row>
    <row r="53" spans="1:11" x14ac:dyDescent="0.3">
      <c r="A53" t="s">
        <v>790</v>
      </c>
      <c r="B53" s="1">
        <v>45206.919444444437</v>
      </c>
      <c r="C53" t="s">
        <v>817</v>
      </c>
      <c r="D53">
        <v>13</v>
      </c>
      <c r="E53" t="s">
        <v>795</v>
      </c>
      <c r="F53" s="4" t="s">
        <v>30</v>
      </c>
      <c r="G53" s="4" t="str">
        <f>IFERROR(VLOOKUP(C53,'Registre maintenance'!B:F,2,FALSE),"Non trouvé")</f>
        <v>Sud-Ubangi</v>
      </c>
      <c r="H53">
        <f>IFERROR(VLOOKUP(C53,'Registre maintenance'!B:F,3,FALSE),"Non trouvé")</f>
        <v>-10.56448</v>
      </c>
      <c r="I53">
        <f>IFERROR(VLOOKUP(C53,'Registre maintenance'!B:F,4,FALSE),"Non trouvé")</f>
        <v>19.792876</v>
      </c>
      <c r="J53" t="str">
        <f>IFERROR(VLOOKUP(C53,'Registre maintenance'!B:F,5,FALSE),"Non trouvé")</f>
        <v>5G</v>
      </c>
      <c r="K53" t="str">
        <f t="shared" si="0"/>
        <v>OK</v>
      </c>
    </row>
    <row r="54" spans="1:11" x14ac:dyDescent="0.3">
      <c r="A54" t="s">
        <v>839</v>
      </c>
      <c r="B54" s="1">
        <v>45229.595833333333</v>
      </c>
      <c r="C54" t="s">
        <v>817</v>
      </c>
      <c r="D54">
        <v>88</v>
      </c>
      <c r="E54" t="s">
        <v>797</v>
      </c>
      <c r="F54" s="4" t="s">
        <v>30</v>
      </c>
      <c r="G54" s="4" t="str">
        <f>IFERROR(VLOOKUP(C54,'Registre maintenance'!B:F,2,FALSE),"Non trouvé")</f>
        <v>Sud-Ubangi</v>
      </c>
      <c r="H54">
        <f>IFERROR(VLOOKUP(C54,'Registre maintenance'!B:F,3,FALSE),"Non trouvé")</f>
        <v>-10.56448</v>
      </c>
      <c r="I54">
        <f>IFERROR(VLOOKUP(C54,'Registre maintenance'!B:F,4,FALSE),"Non trouvé")</f>
        <v>19.792876</v>
      </c>
      <c r="J54" t="str">
        <f>IFERROR(VLOOKUP(C54,'Registre maintenance'!B:F,5,FALSE),"Non trouvé")</f>
        <v>5G</v>
      </c>
      <c r="K54" t="str">
        <f t="shared" si="0"/>
        <v>OK</v>
      </c>
    </row>
    <row r="55" spans="1:11" x14ac:dyDescent="0.3">
      <c r="A55" t="s">
        <v>1084</v>
      </c>
      <c r="B55" s="1">
        <v>45202.42083333333</v>
      </c>
      <c r="C55" t="s">
        <v>817</v>
      </c>
      <c r="D55">
        <v>84</v>
      </c>
      <c r="E55" t="s">
        <v>792</v>
      </c>
      <c r="F55" s="4" t="s">
        <v>30</v>
      </c>
      <c r="G55" s="4" t="str">
        <f>IFERROR(VLOOKUP(C55,'Registre maintenance'!B:F,2,FALSE),"Non trouvé")</f>
        <v>Sud-Ubangi</v>
      </c>
      <c r="H55">
        <f>IFERROR(VLOOKUP(C55,'Registre maintenance'!B:F,3,FALSE),"Non trouvé")</f>
        <v>-10.56448</v>
      </c>
      <c r="I55">
        <f>IFERROR(VLOOKUP(C55,'Registre maintenance'!B:F,4,FALSE),"Non trouvé")</f>
        <v>19.792876</v>
      </c>
      <c r="J55" t="str">
        <f>IFERROR(VLOOKUP(C55,'Registre maintenance'!B:F,5,FALSE),"Non trouvé")</f>
        <v>5G</v>
      </c>
      <c r="K55" t="str">
        <f t="shared" si="0"/>
        <v>OK</v>
      </c>
    </row>
    <row r="56" spans="1:11" x14ac:dyDescent="0.3">
      <c r="A56" t="s">
        <v>999</v>
      </c>
      <c r="B56" s="1">
        <v>45227.527083333327</v>
      </c>
      <c r="C56" t="s">
        <v>1029</v>
      </c>
      <c r="D56">
        <v>107</v>
      </c>
      <c r="E56" t="s">
        <v>795</v>
      </c>
      <c r="F56" s="4" t="s">
        <v>36</v>
      </c>
      <c r="G56" s="4" t="str">
        <f>IFERROR(VLOOKUP(C56,'Registre maintenance'!B:F,2,FALSE),"Non trouvé")</f>
        <v>Tanganyika</v>
      </c>
      <c r="H56">
        <f>IFERROR(VLOOKUP(C56,'Registre maintenance'!B:F,3,FALSE),"Non trouvé")</f>
        <v>-1.50664</v>
      </c>
      <c r="I56">
        <f>IFERROR(VLOOKUP(C56,'Registre maintenance'!B:F,4,FALSE),"Non trouvé")</f>
        <v>27.795642000000001</v>
      </c>
      <c r="J56" t="str">
        <f>IFERROR(VLOOKUP(C56,'Registre maintenance'!B:F,5,FALSE),"Non trouvé")</f>
        <v>5G</v>
      </c>
      <c r="K56" t="str">
        <f t="shared" si="0"/>
        <v>OK</v>
      </c>
    </row>
    <row r="57" spans="1:11" x14ac:dyDescent="0.3">
      <c r="A57" t="s">
        <v>1059</v>
      </c>
      <c r="B57" s="1">
        <v>45207.526388888888</v>
      </c>
      <c r="C57" t="s">
        <v>1083</v>
      </c>
      <c r="D57">
        <v>78</v>
      </c>
      <c r="E57" t="s">
        <v>797</v>
      </c>
      <c r="F57" s="4" t="s">
        <v>23</v>
      </c>
      <c r="G57" s="4" t="str">
        <f>IFERROR(VLOOKUP(C57,'Registre maintenance'!B:F,2,FALSE),"Non trouvé")</f>
        <v>Haut-Katanga</v>
      </c>
      <c r="H57">
        <f>IFERROR(VLOOKUP(C57,'Registre maintenance'!B:F,3,FALSE),"Non trouvé")</f>
        <v>-9.4229749999999992</v>
      </c>
      <c r="I57">
        <f>IFERROR(VLOOKUP(C57,'Registre maintenance'!B:F,4,FALSE),"Non trouvé")</f>
        <v>29.375005999999999</v>
      </c>
      <c r="J57" t="str">
        <f>IFERROR(VLOOKUP(C57,'Registre maintenance'!B:F,5,FALSE),"Non trouvé")</f>
        <v>3G</v>
      </c>
      <c r="K57" t="str">
        <f t="shared" si="0"/>
        <v>OK</v>
      </c>
    </row>
    <row r="58" spans="1:11" x14ac:dyDescent="0.3">
      <c r="A58" t="s">
        <v>790</v>
      </c>
      <c r="B58" s="1">
        <v>45227.329861111109</v>
      </c>
      <c r="C58" t="s">
        <v>819</v>
      </c>
      <c r="D58">
        <v>81</v>
      </c>
      <c r="E58" t="s">
        <v>795</v>
      </c>
      <c r="F58" s="4" t="str">
        <f t="shared" ref="F58:F59" si="9">F57</f>
        <v>Haut-Katanga</v>
      </c>
      <c r="G58" s="4" t="str">
        <f>IFERROR(VLOOKUP(C58,'Registre maintenance'!B:F,2,FALSE),"Non trouvé")</f>
        <v>Non trouvé</v>
      </c>
      <c r="H58" t="str">
        <f>IFERROR(VLOOKUP(C58,'Registre maintenance'!B:F,3,FALSE),"Non trouvé")</f>
        <v>Non trouvé</v>
      </c>
      <c r="I58" t="str">
        <f>IFERROR(VLOOKUP(C58,'Registre maintenance'!B:F,4,FALSE),"Non trouvé")</f>
        <v>Non trouvé</v>
      </c>
      <c r="J58" t="str">
        <f>IFERROR(VLOOKUP(C58,'Registre maintenance'!B:F,5,FALSE),"Non trouvé")</f>
        <v>Non trouvé</v>
      </c>
      <c r="K58" t="str">
        <f t="shared" si="0"/>
        <v>Mismatch</v>
      </c>
    </row>
    <row r="59" spans="1:11" x14ac:dyDescent="0.3">
      <c r="A59" t="s">
        <v>1059</v>
      </c>
      <c r="B59" s="1">
        <v>45209.904861111107</v>
      </c>
      <c r="C59" t="s">
        <v>819</v>
      </c>
      <c r="D59">
        <v>45</v>
      </c>
      <c r="E59" t="s">
        <v>797</v>
      </c>
      <c r="F59" s="4" t="str">
        <f t="shared" si="9"/>
        <v>Haut-Katanga</v>
      </c>
      <c r="G59" s="4" t="str">
        <f>IFERROR(VLOOKUP(C59,'Registre maintenance'!B:F,2,FALSE),"Non trouvé")</f>
        <v>Non trouvé</v>
      </c>
      <c r="H59" t="str">
        <f>IFERROR(VLOOKUP(C59,'Registre maintenance'!B:F,3,FALSE),"Non trouvé")</f>
        <v>Non trouvé</v>
      </c>
      <c r="I59" t="str">
        <f>IFERROR(VLOOKUP(C59,'Registre maintenance'!B:F,4,FALSE),"Non trouvé")</f>
        <v>Non trouvé</v>
      </c>
      <c r="J59" t="str">
        <f>IFERROR(VLOOKUP(C59,'Registre maintenance'!B:F,5,FALSE),"Non trouvé")</f>
        <v>Non trouvé</v>
      </c>
      <c r="K59" t="str">
        <f t="shared" si="0"/>
        <v>Mismatch</v>
      </c>
    </row>
    <row r="60" spans="1:11" x14ac:dyDescent="0.3">
      <c r="A60" t="s">
        <v>999</v>
      </c>
      <c r="B60" s="1">
        <v>45222.663194444453</v>
      </c>
      <c r="C60" t="s">
        <v>1016</v>
      </c>
      <c r="D60">
        <v>6</v>
      </c>
      <c r="E60" t="s">
        <v>797</v>
      </c>
      <c r="F60" s="4" t="s">
        <v>61</v>
      </c>
      <c r="G60" s="4" t="str">
        <f>IFERROR(VLOOKUP(C60,'Registre maintenance'!B:F,2,FALSE),"Non trouvé")</f>
        <v>Kongo-Central</v>
      </c>
      <c r="H60">
        <f>IFERROR(VLOOKUP(C60,'Registre maintenance'!B:F,3,FALSE),"Non trouvé")</f>
        <v>2.975352</v>
      </c>
      <c r="I60">
        <f>IFERROR(VLOOKUP(C60,'Registre maintenance'!B:F,4,FALSE),"Non trouvé")</f>
        <v>22.535886000000001</v>
      </c>
      <c r="J60" t="str">
        <f>IFERROR(VLOOKUP(C60,'Registre maintenance'!B:F,5,FALSE),"Non trouvé")</f>
        <v>4G</v>
      </c>
      <c r="K60" t="str">
        <f t="shared" si="0"/>
        <v>OK</v>
      </c>
    </row>
    <row r="61" spans="1:11" x14ac:dyDescent="0.3">
      <c r="A61" t="s">
        <v>790</v>
      </c>
      <c r="B61" s="1">
        <v>45203.511805555558</v>
      </c>
      <c r="C61" t="s">
        <v>820</v>
      </c>
      <c r="D61">
        <v>64</v>
      </c>
      <c r="E61" t="s">
        <v>797</v>
      </c>
      <c r="F61" s="4" t="s">
        <v>72</v>
      </c>
      <c r="G61" s="4" t="str">
        <f>IFERROR(VLOOKUP(C61,'Registre maintenance'!B:F,2,FALSE),"Non trouvé")</f>
        <v>Tshopo</v>
      </c>
      <c r="H61">
        <f>IFERROR(VLOOKUP(C61,'Registre maintenance'!B:F,3,FALSE),"Non trouvé")</f>
        <v>0.23583499999999999</v>
      </c>
      <c r="I61">
        <f>IFERROR(VLOOKUP(C61,'Registre maintenance'!B:F,4,FALSE),"Non trouvé")</f>
        <v>24.889558999999998</v>
      </c>
      <c r="J61" t="str">
        <f>IFERROR(VLOOKUP(C61,'Registre maintenance'!B:F,5,FALSE),"Non trouvé")</f>
        <v>3G</v>
      </c>
      <c r="K61" t="str">
        <f t="shared" si="0"/>
        <v>OK</v>
      </c>
    </row>
    <row r="62" spans="1:11" x14ac:dyDescent="0.3">
      <c r="A62" t="s">
        <v>790</v>
      </c>
      <c r="B62" s="1">
        <v>45214.870138888888</v>
      </c>
      <c r="C62" t="s">
        <v>821</v>
      </c>
      <c r="D62">
        <v>72</v>
      </c>
      <c r="E62" t="s">
        <v>792</v>
      </c>
      <c r="F62" s="4" t="str">
        <f t="shared" ref="F62:F65" si="10">F61</f>
        <v>Tshopo</v>
      </c>
      <c r="G62" s="4" t="str">
        <f>IFERROR(VLOOKUP(C62,'Registre maintenance'!B:F,2,FALSE),"Non trouvé")</f>
        <v>Non trouvé</v>
      </c>
      <c r="H62" t="str">
        <f>IFERROR(VLOOKUP(C62,'Registre maintenance'!B:F,3,FALSE),"Non trouvé")</f>
        <v>Non trouvé</v>
      </c>
      <c r="I62" t="str">
        <f>IFERROR(VLOOKUP(C62,'Registre maintenance'!B:F,4,FALSE),"Non trouvé")</f>
        <v>Non trouvé</v>
      </c>
      <c r="J62" t="str">
        <f>IFERROR(VLOOKUP(C62,'Registre maintenance'!B:F,5,FALSE),"Non trouvé")</f>
        <v>Non trouvé</v>
      </c>
      <c r="K62" t="str">
        <f t="shared" si="0"/>
        <v>Mismatch</v>
      </c>
    </row>
    <row r="63" spans="1:11" x14ac:dyDescent="0.3">
      <c r="A63" t="s">
        <v>921</v>
      </c>
      <c r="B63" s="1">
        <v>45211.105555555558</v>
      </c>
      <c r="C63" t="s">
        <v>821</v>
      </c>
      <c r="D63">
        <v>67</v>
      </c>
      <c r="E63" t="s">
        <v>792</v>
      </c>
      <c r="F63" s="4" t="str">
        <f t="shared" si="10"/>
        <v>Tshopo</v>
      </c>
      <c r="G63" s="4" t="str">
        <f>IFERROR(VLOOKUP(C63,'Registre maintenance'!B:F,2,FALSE),"Non trouvé")</f>
        <v>Non trouvé</v>
      </c>
      <c r="H63" t="str">
        <f>IFERROR(VLOOKUP(C63,'Registre maintenance'!B:F,3,FALSE),"Non trouvé")</f>
        <v>Non trouvé</v>
      </c>
      <c r="I63" t="str">
        <f>IFERROR(VLOOKUP(C63,'Registre maintenance'!B:F,4,FALSE),"Non trouvé")</f>
        <v>Non trouvé</v>
      </c>
      <c r="J63" t="str">
        <f>IFERROR(VLOOKUP(C63,'Registre maintenance'!B:F,5,FALSE),"Non trouvé")</f>
        <v>Non trouvé</v>
      </c>
      <c r="K63" t="str">
        <f t="shared" si="0"/>
        <v>Mismatch</v>
      </c>
    </row>
    <row r="64" spans="1:11" x14ac:dyDescent="0.3">
      <c r="A64" t="s">
        <v>999</v>
      </c>
      <c r="B64" s="1">
        <v>45205.11041666667</v>
      </c>
      <c r="C64" t="s">
        <v>821</v>
      </c>
      <c r="D64">
        <v>104</v>
      </c>
      <c r="E64" t="s">
        <v>792</v>
      </c>
      <c r="F64" s="4" t="str">
        <f t="shared" si="10"/>
        <v>Tshopo</v>
      </c>
      <c r="G64" s="4" t="str">
        <f>IFERROR(VLOOKUP(C64,'Registre maintenance'!B:F,2,FALSE),"Non trouvé")</f>
        <v>Non trouvé</v>
      </c>
      <c r="H64" t="str">
        <f>IFERROR(VLOOKUP(C64,'Registre maintenance'!B:F,3,FALSE),"Non trouvé")</f>
        <v>Non trouvé</v>
      </c>
      <c r="I64" t="str">
        <f>IFERROR(VLOOKUP(C64,'Registre maintenance'!B:F,4,FALSE),"Non trouvé")</f>
        <v>Non trouvé</v>
      </c>
      <c r="J64" t="str">
        <f>IFERROR(VLOOKUP(C64,'Registre maintenance'!B:F,5,FALSE),"Non trouvé")</f>
        <v>Non trouvé</v>
      </c>
      <c r="K64" t="str">
        <f t="shared" si="0"/>
        <v>Mismatch</v>
      </c>
    </row>
    <row r="65" spans="1:11" x14ac:dyDescent="0.3">
      <c r="A65" t="s">
        <v>1038</v>
      </c>
      <c r="B65" s="1">
        <v>45227.306250000001</v>
      </c>
      <c r="C65" t="s">
        <v>821</v>
      </c>
      <c r="D65">
        <v>71</v>
      </c>
      <c r="E65" t="s">
        <v>795</v>
      </c>
      <c r="F65" s="4" t="str">
        <f t="shared" si="10"/>
        <v>Tshopo</v>
      </c>
      <c r="G65" s="4" t="str">
        <f>IFERROR(VLOOKUP(C65,'Registre maintenance'!B:F,2,FALSE),"Non trouvé")</f>
        <v>Non trouvé</v>
      </c>
      <c r="H65" t="str">
        <f>IFERROR(VLOOKUP(C65,'Registre maintenance'!B:F,3,FALSE),"Non trouvé")</f>
        <v>Non trouvé</v>
      </c>
      <c r="I65" t="str">
        <f>IFERROR(VLOOKUP(C65,'Registre maintenance'!B:F,4,FALSE),"Non trouvé")</f>
        <v>Non trouvé</v>
      </c>
      <c r="J65" t="str">
        <f>IFERROR(VLOOKUP(C65,'Registre maintenance'!B:F,5,FALSE),"Non trouvé")</f>
        <v>Non trouvé</v>
      </c>
      <c r="K65" t="str">
        <f t="shared" si="0"/>
        <v>Mismatch</v>
      </c>
    </row>
    <row r="66" spans="1:11" x14ac:dyDescent="0.3">
      <c r="A66" t="s">
        <v>1084</v>
      </c>
      <c r="B66" s="1">
        <v>45229.39166666667</v>
      </c>
      <c r="C66" t="s">
        <v>1098</v>
      </c>
      <c r="D66">
        <v>28</v>
      </c>
      <c r="E66" t="s">
        <v>797</v>
      </c>
      <c r="F66" s="4" t="s">
        <v>135</v>
      </c>
      <c r="G66" s="4" t="str">
        <f>IFERROR(VLOOKUP(C66,'Registre maintenance'!B:F,2,FALSE),"Non trouvé")</f>
        <v>Lualaba</v>
      </c>
      <c r="H66">
        <f>IFERROR(VLOOKUP(C66,'Registre maintenance'!B:F,3,FALSE),"Non trouvé")</f>
        <v>-10.967288</v>
      </c>
      <c r="I66">
        <f>IFERROR(VLOOKUP(C66,'Registre maintenance'!B:F,4,FALSE),"Non trouvé")</f>
        <v>17.617781000000001</v>
      </c>
      <c r="J66" t="str">
        <f>IFERROR(VLOOKUP(C66,'Registre maintenance'!B:F,5,FALSE),"Non trouvé")</f>
        <v>4G</v>
      </c>
      <c r="K66" t="str">
        <f t="shared" ref="K66:K129" si="11">IF(F66=G66,"OK","Mismatch")</f>
        <v>OK</v>
      </c>
    </row>
    <row r="67" spans="1:11" x14ac:dyDescent="0.3">
      <c r="A67" t="s">
        <v>921</v>
      </c>
      <c r="B67" s="1">
        <v>45202.852083333331</v>
      </c>
      <c r="C67" t="s">
        <v>928</v>
      </c>
      <c r="D67">
        <v>83</v>
      </c>
      <c r="E67" t="s">
        <v>792</v>
      </c>
      <c r="F67" s="4" t="s">
        <v>43</v>
      </c>
      <c r="G67" s="4" t="str">
        <f>IFERROR(VLOOKUP(C67,'Registre maintenance'!B:F,2,FALSE),"Non trouvé")</f>
        <v>Mai-Ndombe</v>
      </c>
      <c r="H67">
        <f>IFERROR(VLOOKUP(C67,'Registre maintenance'!B:F,3,FALSE),"Non trouvé")</f>
        <v>-1.607639</v>
      </c>
      <c r="I67">
        <f>IFERROR(VLOOKUP(C67,'Registre maintenance'!B:F,4,FALSE),"Non trouvé")</f>
        <v>17.003636</v>
      </c>
      <c r="J67" t="str">
        <f>IFERROR(VLOOKUP(C67,'Registre maintenance'!B:F,5,FALSE),"Non trouvé")</f>
        <v>4G</v>
      </c>
      <c r="K67" t="str">
        <f t="shared" si="11"/>
        <v>OK</v>
      </c>
    </row>
    <row r="68" spans="1:11" x14ac:dyDescent="0.3">
      <c r="A68" t="s">
        <v>883</v>
      </c>
      <c r="B68" s="1">
        <v>45219.420138888891</v>
      </c>
      <c r="C68" t="s">
        <v>915</v>
      </c>
      <c r="D68">
        <v>63</v>
      </c>
      <c r="E68" t="s">
        <v>797</v>
      </c>
      <c r="F68" s="4" t="s">
        <v>66</v>
      </c>
      <c r="G68" s="4" t="str">
        <f>IFERROR(VLOOKUP(C68,'Registre maintenance'!B:F,2,FALSE),"Non trouvé")</f>
        <v>Lomami</v>
      </c>
      <c r="H68">
        <f>IFERROR(VLOOKUP(C68,'Registre maintenance'!B:F,3,FALSE),"Non trouvé")</f>
        <v>-9.9875139999999991</v>
      </c>
      <c r="I68">
        <f>IFERROR(VLOOKUP(C68,'Registre maintenance'!B:F,4,FALSE),"Non trouvé")</f>
        <v>12.013676999999999</v>
      </c>
      <c r="J68" t="str">
        <f>IFERROR(VLOOKUP(C68,'Registre maintenance'!B:F,5,FALSE),"Non trouvé")</f>
        <v>3G</v>
      </c>
      <c r="K68" t="str">
        <f t="shared" si="11"/>
        <v>OK</v>
      </c>
    </row>
    <row r="69" spans="1:11" x14ac:dyDescent="0.3">
      <c r="A69" t="s">
        <v>999</v>
      </c>
      <c r="B69" s="1">
        <v>45222.353472222218</v>
      </c>
      <c r="C69" t="s">
        <v>1037</v>
      </c>
      <c r="D69">
        <v>101</v>
      </c>
      <c r="E69" t="s">
        <v>795</v>
      </c>
      <c r="F69" s="4" t="s">
        <v>129</v>
      </c>
      <c r="G69" s="4" t="str">
        <f>IFERROR(VLOOKUP(C69,'Registre maintenance'!B:F,2,FALSE),"Non trouvé")</f>
        <v>Nord-Kivu</v>
      </c>
      <c r="H69">
        <f>IFERROR(VLOOKUP(C69,'Registre maintenance'!B:F,3,FALSE),"Non trouvé")</f>
        <v>-10.846306999999999</v>
      </c>
      <c r="I69">
        <f>IFERROR(VLOOKUP(C69,'Registre maintenance'!B:F,4,FALSE),"Non trouvé")</f>
        <v>19.201827999999999</v>
      </c>
      <c r="J69" t="str">
        <f>IFERROR(VLOOKUP(C69,'Registre maintenance'!B:F,5,FALSE),"Non trouvé")</f>
        <v>4G</v>
      </c>
      <c r="K69" t="str">
        <f t="shared" si="11"/>
        <v>OK</v>
      </c>
    </row>
    <row r="70" spans="1:11" x14ac:dyDescent="0.3">
      <c r="A70" t="s">
        <v>790</v>
      </c>
      <c r="B70" s="1">
        <v>45211.224305555559</v>
      </c>
      <c r="C70" t="s">
        <v>822</v>
      </c>
      <c r="D70">
        <v>37</v>
      </c>
      <c r="E70" t="s">
        <v>792</v>
      </c>
      <c r="F70" s="4" t="str">
        <f>F69</f>
        <v>Nord-Kivu</v>
      </c>
      <c r="G70" s="4" t="str">
        <f>IFERROR(VLOOKUP(C70,'Registre maintenance'!B:F,2,FALSE),"Non trouvé")</f>
        <v>Non trouvé</v>
      </c>
      <c r="H70" t="str">
        <f>IFERROR(VLOOKUP(C70,'Registre maintenance'!B:F,3,FALSE),"Non trouvé")</f>
        <v>Non trouvé</v>
      </c>
      <c r="I70" t="str">
        <f>IFERROR(VLOOKUP(C70,'Registre maintenance'!B:F,4,FALSE),"Non trouvé")</f>
        <v>Non trouvé</v>
      </c>
      <c r="J70" t="str">
        <f>IFERROR(VLOOKUP(C70,'Registre maintenance'!B:F,5,FALSE),"Non trouvé")</f>
        <v>Non trouvé</v>
      </c>
      <c r="K70" t="str">
        <f t="shared" si="11"/>
        <v>Mismatch</v>
      </c>
    </row>
    <row r="71" spans="1:11" x14ac:dyDescent="0.3">
      <c r="A71" t="s">
        <v>790</v>
      </c>
      <c r="B71" s="1">
        <v>45211.279166666667</v>
      </c>
      <c r="C71" t="s">
        <v>823</v>
      </c>
      <c r="D71">
        <v>75</v>
      </c>
      <c r="E71" t="s">
        <v>792</v>
      </c>
      <c r="F71" s="4" t="s">
        <v>87</v>
      </c>
      <c r="G71" s="4" t="str">
        <f>IFERROR(VLOOKUP(C71,'Registre maintenance'!B:F,2,FALSE),"Non trouvé")</f>
        <v>Nord-Ubangi</v>
      </c>
      <c r="H71">
        <f>IFERROR(VLOOKUP(C71,'Registre maintenance'!B:F,3,FALSE),"Non trouvé")</f>
        <v>-8.1437910000000002</v>
      </c>
      <c r="I71">
        <f>IFERROR(VLOOKUP(C71,'Registre maintenance'!B:F,4,FALSE),"Non trouvé")</f>
        <v>28.946161</v>
      </c>
      <c r="J71" t="str">
        <f>IFERROR(VLOOKUP(C71,'Registre maintenance'!B:F,5,FALSE),"Non trouvé")</f>
        <v>4G</v>
      </c>
      <c r="K71" t="str">
        <f t="shared" si="11"/>
        <v>OK</v>
      </c>
    </row>
    <row r="72" spans="1:11" x14ac:dyDescent="0.3">
      <c r="A72" t="s">
        <v>962</v>
      </c>
      <c r="B72" s="1">
        <v>45218.378472222219</v>
      </c>
      <c r="C72" t="s">
        <v>969</v>
      </c>
      <c r="D72">
        <v>102</v>
      </c>
      <c r="E72" t="s">
        <v>792</v>
      </c>
      <c r="F72" s="4" t="s">
        <v>32</v>
      </c>
      <c r="G72" s="4" t="str">
        <f>IFERROR(VLOOKUP(C72,'Registre maintenance'!B:F,2,FALSE),"Non trouvé")</f>
        <v>Kasai-Central</v>
      </c>
      <c r="H72">
        <f>IFERROR(VLOOKUP(C72,'Registre maintenance'!B:F,3,FALSE),"Non trouvé")</f>
        <v>-4.4451280000000004</v>
      </c>
      <c r="I72">
        <f>IFERROR(VLOOKUP(C72,'Registre maintenance'!B:F,4,FALSE),"Non trouvé")</f>
        <v>16.536944999999999</v>
      </c>
      <c r="J72" t="str">
        <f>IFERROR(VLOOKUP(C72,'Registre maintenance'!B:F,5,FALSE),"Non trouvé")</f>
        <v>4G</v>
      </c>
      <c r="K72" t="str">
        <f t="shared" si="11"/>
        <v>OK</v>
      </c>
    </row>
    <row r="73" spans="1:11" x14ac:dyDescent="0.3">
      <c r="A73" t="s">
        <v>790</v>
      </c>
      <c r="B73" s="1">
        <v>45208.957638888889</v>
      </c>
      <c r="C73" t="s">
        <v>824</v>
      </c>
      <c r="D73">
        <v>115</v>
      </c>
      <c r="E73" t="s">
        <v>792</v>
      </c>
      <c r="F73" s="4" t="s">
        <v>72</v>
      </c>
      <c r="G73" s="4" t="str">
        <f>IFERROR(VLOOKUP(C73,'Registre maintenance'!B:F,2,FALSE),"Non trouvé")</f>
        <v>Tshopo</v>
      </c>
      <c r="H73">
        <f>IFERROR(VLOOKUP(C73,'Registre maintenance'!B:F,3,FALSE),"Non trouvé")</f>
        <v>-6.1837850000000003</v>
      </c>
      <c r="I73">
        <f>IFERROR(VLOOKUP(C73,'Registre maintenance'!B:F,4,FALSE),"Non trouvé")</f>
        <v>25.138759</v>
      </c>
      <c r="J73" t="str">
        <f>IFERROR(VLOOKUP(C73,'Registre maintenance'!B:F,5,FALSE),"Non trouvé")</f>
        <v>3G</v>
      </c>
      <c r="K73" t="str">
        <f t="shared" si="11"/>
        <v>OK</v>
      </c>
    </row>
    <row r="74" spans="1:11" x14ac:dyDescent="0.3">
      <c r="A74" t="s">
        <v>962</v>
      </c>
      <c r="B74" s="1">
        <v>45226.100694444453</v>
      </c>
      <c r="C74" t="s">
        <v>965</v>
      </c>
      <c r="D74">
        <v>110</v>
      </c>
      <c r="E74" t="s">
        <v>795</v>
      </c>
      <c r="F74" s="4" t="s">
        <v>66</v>
      </c>
      <c r="G74" s="4" t="str">
        <f>IFERROR(VLOOKUP(C74,'Registre maintenance'!B:F,2,FALSE),"Non trouvé")</f>
        <v>Lomami</v>
      </c>
      <c r="H74">
        <f>IFERROR(VLOOKUP(C74,'Registre maintenance'!B:F,3,FALSE),"Non trouvé")</f>
        <v>-2.2681789999999999</v>
      </c>
      <c r="I74">
        <f>IFERROR(VLOOKUP(C74,'Registre maintenance'!B:F,4,FALSE),"Non trouvé")</f>
        <v>25.699068</v>
      </c>
      <c r="J74" t="str">
        <f>IFERROR(VLOOKUP(C74,'Registre maintenance'!B:F,5,FALSE),"Non trouvé")</f>
        <v>3G</v>
      </c>
      <c r="K74" t="str">
        <f t="shared" si="11"/>
        <v>OK</v>
      </c>
    </row>
    <row r="75" spans="1:11" x14ac:dyDescent="0.3">
      <c r="A75" t="s">
        <v>883</v>
      </c>
      <c r="B75" s="1">
        <v>45203.997916666667</v>
      </c>
      <c r="C75" t="s">
        <v>899</v>
      </c>
      <c r="D75">
        <v>101</v>
      </c>
      <c r="E75" t="s">
        <v>797</v>
      </c>
      <c r="F75" s="4" t="s">
        <v>129</v>
      </c>
      <c r="G75" s="4" t="str">
        <f>IFERROR(VLOOKUP(C75,'Registre maintenance'!B:F,2,FALSE),"Non trouvé")</f>
        <v>Nord-Kivu</v>
      </c>
      <c r="H75">
        <f>IFERROR(VLOOKUP(C75,'Registre maintenance'!B:F,3,FALSE),"Non trouvé")</f>
        <v>-6.3148239999999998</v>
      </c>
      <c r="I75">
        <f>IFERROR(VLOOKUP(C75,'Registre maintenance'!B:F,4,FALSE),"Non trouvé")</f>
        <v>24.507498999999999</v>
      </c>
      <c r="J75" t="str">
        <f>IFERROR(VLOOKUP(C75,'Registre maintenance'!B:F,5,FALSE),"Non trouvé")</f>
        <v>3G</v>
      </c>
      <c r="K75" t="str">
        <f t="shared" si="11"/>
        <v>OK</v>
      </c>
    </row>
    <row r="76" spans="1:11" x14ac:dyDescent="0.3">
      <c r="A76" t="s">
        <v>790</v>
      </c>
      <c r="B76" s="1">
        <v>45221.836111111108</v>
      </c>
      <c r="C76" t="s">
        <v>825</v>
      </c>
      <c r="D76">
        <v>6</v>
      </c>
      <c r="E76" t="s">
        <v>797</v>
      </c>
      <c r="F76" s="4" t="s">
        <v>28</v>
      </c>
      <c r="G76" s="4" t="str">
        <f>IFERROR(VLOOKUP(C76,'Registre maintenance'!B:F,2,FALSE),"Non trouvé")</f>
        <v>Kasai</v>
      </c>
      <c r="H76">
        <f>IFERROR(VLOOKUP(C76,'Registre maintenance'!B:F,3,FALSE),"Non trouvé")</f>
        <v>-4.9789079999999997</v>
      </c>
      <c r="I76">
        <f>IFERROR(VLOOKUP(C76,'Registre maintenance'!B:F,4,FALSE),"Non trouvé")</f>
        <v>28.506295000000001</v>
      </c>
      <c r="J76" t="str">
        <f>IFERROR(VLOOKUP(C76,'Registre maintenance'!B:F,5,FALSE),"Non trouvé")</f>
        <v>4G</v>
      </c>
      <c r="K76" t="str">
        <f t="shared" si="11"/>
        <v>OK</v>
      </c>
    </row>
    <row r="77" spans="1:11" x14ac:dyDescent="0.3">
      <c r="A77" t="s">
        <v>962</v>
      </c>
      <c r="B77" s="1">
        <v>45205.052777777782</v>
      </c>
      <c r="C77" t="s">
        <v>825</v>
      </c>
      <c r="D77">
        <v>102</v>
      </c>
      <c r="E77" t="s">
        <v>795</v>
      </c>
      <c r="F77" s="4" t="s">
        <v>28</v>
      </c>
      <c r="G77" s="4" t="str">
        <f>IFERROR(VLOOKUP(C77,'Registre maintenance'!B:F,2,FALSE),"Non trouvé")</f>
        <v>Kasai</v>
      </c>
      <c r="H77">
        <f>IFERROR(VLOOKUP(C77,'Registre maintenance'!B:F,3,FALSE),"Non trouvé")</f>
        <v>-4.9789079999999997</v>
      </c>
      <c r="I77">
        <f>IFERROR(VLOOKUP(C77,'Registre maintenance'!B:F,4,FALSE),"Non trouvé")</f>
        <v>28.506295000000001</v>
      </c>
      <c r="J77" t="str">
        <f>IFERROR(VLOOKUP(C77,'Registre maintenance'!B:F,5,FALSE),"Non trouvé")</f>
        <v>4G</v>
      </c>
      <c r="K77" t="str">
        <f t="shared" si="11"/>
        <v>OK</v>
      </c>
    </row>
    <row r="78" spans="1:11" x14ac:dyDescent="0.3">
      <c r="A78" t="s">
        <v>790</v>
      </c>
      <c r="B78" s="1">
        <v>45219.840277777781</v>
      </c>
      <c r="C78" t="s">
        <v>826</v>
      </c>
      <c r="D78">
        <v>92</v>
      </c>
      <c r="E78" t="s">
        <v>792</v>
      </c>
      <c r="F78" s="4" t="str">
        <f t="shared" ref="F78:F80" si="12">F77</f>
        <v>Kasai</v>
      </c>
      <c r="G78" s="4" t="str">
        <f>IFERROR(VLOOKUP(C78,'Registre maintenance'!B:F,2,FALSE),"Non trouvé")</f>
        <v>Non trouvé</v>
      </c>
      <c r="H78" t="str">
        <f>IFERROR(VLOOKUP(C78,'Registre maintenance'!B:F,3,FALSE),"Non trouvé")</f>
        <v>Non trouvé</v>
      </c>
      <c r="I78" t="str">
        <f>IFERROR(VLOOKUP(C78,'Registre maintenance'!B:F,4,FALSE),"Non trouvé")</f>
        <v>Non trouvé</v>
      </c>
      <c r="J78" t="str">
        <f>IFERROR(VLOOKUP(C78,'Registre maintenance'!B:F,5,FALSE),"Non trouvé")</f>
        <v>Non trouvé</v>
      </c>
      <c r="K78" t="str">
        <f t="shared" si="11"/>
        <v>Mismatch</v>
      </c>
    </row>
    <row r="79" spans="1:11" x14ac:dyDescent="0.3">
      <c r="A79" t="s">
        <v>839</v>
      </c>
      <c r="B79" s="1">
        <v>45211.55972222222</v>
      </c>
      <c r="C79" t="s">
        <v>826</v>
      </c>
      <c r="D79">
        <v>69</v>
      </c>
      <c r="E79" t="s">
        <v>795</v>
      </c>
      <c r="F79" s="4" t="str">
        <f t="shared" si="12"/>
        <v>Kasai</v>
      </c>
      <c r="G79" s="4" t="str">
        <f>IFERROR(VLOOKUP(C79,'Registre maintenance'!B:F,2,FALSE),"Non trouvé")</f>
        <v>Non trouvé</v>
      </c>
      <c r="H79" t="str">
        <f>IFERROR(VLOOKUP(C79,'Registre maintenance'!B:F,3,FALSE),"Non trouvé")</f>
        <v>Non trouvé</v>
      </c>
      <c r="I79" t="str">
        <f>IFERROR(VLOOKUP(C79,'Registre maintenance'!B:F,4,FALSE),"Non trouvé")</f>
        <v>Non trouvé</v>
      </c>
      <c r="J79" t="str">
        <f>IFERROR(VLOOKUP(C79,'Registre maintenance'!B:F,5,FALSE),"Non trouvé")</f>
        <v>Non trouvé</v>
      </c>
      <c r="K79" t="str">
        <f t="shared" si="11"/>
        <v>Mismatch</v>
      </c>
    </row>
    <row r="80" spans="1:11" x14ac:dyDescent="0.3">
      <c r="A80" t="s">
        <v>921</v>
      </c>
      <c r="B80" s="1">
        <v>45200.981944444437</v>
      </c>
      <c r="C80" t="s">
        <v>826</v>
      </c>
      <c r="D80">
        <v>98</v>
      </c>
      <c r="E80" t="s">
        <v>792</v>
      </c>
      <c r="F80" s="4" t="str">
        <f t="shared" si="12"/>
        <v>Kasai</v>
      </c>
      <c r="G80" s="4" t="str">
        <f>IFERROR(VLOOKUP(C80,'Registre maintenance'!B:F,2,FALSE),"Non trouvé")</f>
        <v>Non trouvé</v>
      </c>
      <c r="H80" t="str">
        <f>IFERROR(VLOOKUP(C80,'Registre maintenance'!B:F,3,FALSE),"Non trouvé")</f>
        <v>Non trouvé</v>
      </c>
      <c r="I80" t="str">
        <f>IFERROR(VLOOKUP(C80,'Registre maintenance'!B:F,4,FALSE),"Non trouvé")</f>
        <v>Non trouvé</v>
      </c>
      <c r="J80" t="str">
        <f>IFERROR(VLOOKUP(C80,'Registre maintenance'!B:F,5,FALSE),"Non trouvé")</f>
        <v>Non trouvé</v>
      </c>
      <c r="K80" t="str">
        <f t="shared" si="11"/>
        <v>Mismatch</v>
      </c>
    </row>
    <row r="81" spans="1:11" x14ac:dyDescent="0.3">
      <c r="A81" t="s">
        <v>839</v>
      </c>
      <c r="B81" s="1">
        <v>45221.861805555563</v>
      </c>
      <c r="C81" t="s">
        <v>845</v>
      </c>
      <c r="D81">
        <v>21</v>
      </c>
      <c r="E81" t="s">
        <v>795</v>
      </c>
      <c r="F81" s="4" t="s">
        <v>36</v>
      </c>
      <c r="G81" s="4" t="str">
        <f>IFERROR(VLOOKUP(C81,'Registre maintenance'!B:F,2,FALSE),"Non trouvé")</f>
        <v>Tanganyika</v>
      </c>
      <c r="H81">
        <f>IFERROR(VLOOKUP(C81,'Registre maintenance'!B:F,3,FALSE),"Non trouvé")</f>
        <v>-1.864393</v>
      </c>
      <c r="I81">
        <f>IFERROR(VLOOKUP(C81,'Registre maintenance'!B:F,4,FALSE),"Non trouvé")</f>
        <v>21.453434000000001</v>
      </c>
      <c r="J81" t="str">
        <f>IFERROR(VLOOKUP(C81,'Registre maintenance'!B:F,5,FALSE),"Non trouvé")</f>
        <v>5G</v>
      </c>
      <c r="K81" t="str">
        <f t="shared" si="11"/>
        <v>OK</v>
      </c>
    </row>
    <row r="82" spans="1:11" x14ac:dyDescent="0.3">
      <c r="A82" t="s">
        <v>1084</v>
      </c>
      <c r="B82" s="1">
        <v>45204.47152777778</v>
      </c>
      <c r="C82" t="s">
        <v>1104</v>
      </c>
      <c r="D82">
        <v>10</v>
      </c>
      <c r="E82" t="s">
        <v>792</v>
      </c>
      <c r="F82" s="4" t="s">
        <v>129</v>
      </c>
      <c r="G82" s="4" t="str">
        <f>IFERROR(VLOOKUP(C82,'Registre maintenance'!B:F,2,FALSE),"Non trouvé")</f>
        <v>Nord-Kivu</v>
      </c>
      <c r="H82">
        <f>IFERROR(VLOOKUP(C82,'Registre maintenance'!B:F,3,FALSE),"Non trouvé")</f>
        <v>4.9455159999999996</v>
      </c>
      <c r="I82">
        <f>IFERROR(VLOOKUP(C82,'Registre maintenance'!B:F,4,FALSE),"Non trouvé")</f>
        <v>23.647746000000001</v>
      </c>
      <c r="J82" t="str">
        <f>IFERROR(VLOOKUP(C82,'Registre maintenance'!B:F,5,FALSE),"Non trouvé")</f>
        <v>5G</v>
      </c>
      <c r="K82" t="str">
        <f t="shared" si="11"/>
        <v>OK</v>
      </c>
    </row>
    <row r="83" spans="1:11" x14ac:dyDescent="0.3">
      <c r="A83" t="s">
        <v>790</v>
      </c>
      <c r="B83" s="1">
        <v>45205.599999999999</v>
      </c>
      <c r="C83" t="s">
        <v>828</v>
      </c>
      <c r="D83">
        <v>19</v>
      </c>
      <c r="E83" t="s">
        <v>795</v>
      </c>
      <c r="F83" s="4" t="str">
        <f t="shared" ref="F83:F84" si="13">F82</f>
        <v>Nord-Kivu</v>
      </c>
      <c r="G83" s="4" t="str">
        <f>IFERROR(VLOOKUP(C83,'Registre maintenance'!B:F,2,FALSE),"Non trouvé")</f>
        <v>Non trouvé</v>
      </c>
      <c r="H83" t="str">
        <f>IFERROR(VLOOKUP(C83,'Registre maintenance'!B:F,3,FALSE),"Non trouvé")</f>
        <v>Non trouvé</v>
      </c>
      <c r="I83" t="str">
        <f>IFERROR(VLOOKUP(C83,'Registre maintenance'!B:F,4,FALSE),"Non trouvé")</f>
        <v>Non trouvé</v>
      </c>
      <c r="J83" t="str">
        <f>IFERROR(VLOOKUP(C83,'Registre maintenance'!B:F,5,FALSE),"Non trouvé")</f>
        <v>Non trouvé</v>
      </c>
      <c r="K83" t="str">
        <f t="shared" si="11"/>
        <v>Mismatch</v>
      </c>
    </row>
    <row r="84" spans="1:11" x14ac:dyDescent="0.3">
      <c r="A84" t="s">
        <v>839</v>
      </c>
      <c r="B84" s="1">
        <v>45201.770833333343</v>
      </c>
      <c r="C84" t="s">
        <v>828</v>
      </c>
      <c r="D84">
        <v>18</v>
      </c>
      <c r="E84" t="s">
        <v>797</v>
      </c>
      <c r="F84" s="4" t="str">
        <f t="shared" si="13"/>
        <v>Nord-Kivu</v>
      </c>
      <c r="G84" s="4" t="str">
        <f>IFERROR(VLOOKUP(C84,'Registre maintenance'!B:F,2,FALSE),"Non trouvé")</f>
        <v>Non trouvé</v>
      </c>
      <c r="H84" t="str">
        <f>IFERROR(VLOOKUP(C84,'Registre maintenance'!B:F,3,FALSE),"Non trouvé")</f>
        <v>Non trouvé</v>
      </c>
      <c r="I84" t="str">
        <f>IFERROR(VLOOKUP(C84,'Registre maintenance'!B:F,4,FALSE),"Non trouvé")</f>
        <v>Non trouvé</v>
      </c>
      <c r="J84" t="str">
        <f>IFERROR(VLOOKUP(C84,'Registre maintenance'!B:F,5,FALSE),"Non trouvé")</f>
        <v>Non trouvé</v>
      </c>
      <c r="K84" t="str">
        <f t="shared" si="11"/>
        <v>Mismatch</v>
      </c>
    </row>
    <row r="85" spans="1:11" x14ac:dyDescent="0.3">
      <c r="A85" t="s">
        <v>999</v>
      </c>
      <c r="B85" s="1">
        <v>45221.724999999999</v>
      </c>
      <c r="C85" t="s">
        <v>1015</v>
      </c>
      <c r="D85">
        <v>55</v>
      </c>
      <c r="E85" t="s">
        <v>795</v>
      </c>
      <c r="F85" s="4" t="s">
        <v>56</v>
      </c>
      <c r="G85" s="4" t="str">
        <f>IFERROR(VLOOKUP(C85,'Registre maintenance'!B:F,2,FALSE),"Non trouvé")</f>
        <v>Kasai-Oriental</v>
      </c>
      <c r="H85">
        <f>IFERROR(VLOOKUP(C85,'Registre maintenance'!B:F,3,FALSE),"Non trouvé")</f>
        <v>-1.3976519999999999</v>
      </c>
      <c r="I85">
        <f>IFERROR(VLOOKUP(C85,'Registre maintenance'!B:F,4,FALSE),"Non trouvé")</f>
        <v>14.098819000000001</v>
      </c>
      <c r="J85" t="str">
        <f>IFERROR(VLOOKUP(C85,'Registre maintenance'!B:F,5,FALSE),"Non trouvé")</f>
        <v>3G</v>
      </c>
      <c r="K85" t="str">
        <f t="shared" si="11"/>
        <v>OK</v>
      </c>
    </row>
    <row r="86" spans="1:11" x14ac:dyDescent="0.3">
      <c r="A86" t="s">
        <v>790</v>
      </c>
      <c r="B86" s="1">
        <v>45208.863888888889</v>
      </c>
      <c r="C86" t="s">
        <v>829</v>
      </c>
      <c r="D86">
        <v>92</v>
      </c>
      <c r="E86" t="s">
        <v>792</v>
      </c>
      <c r="F86" s="4" t="str">
        <f t="shared" ref="F86:F87" si="14">F85</f>
        <v>Kasai-Oriental</v>
      </c>
      <c r="G86" s="4" t="str">
        <f>IFERROR(VLOOKUP(C86,'Registre maintenance'!B:F,2,FALSE),"Non trouvé")</f>
        <v>Non trouvé</v>
      </c>
      <c r="H86" t="str">
        <f>IFERROR(VLOOKUP(C86,'Registre maintenance'!B:F,3,FALSE),"Non trouvé")</f>
        <v>Non trouvé</v>
      </c>
      <c r="I86" t="str">
        <f>IFERROR(VLOOKUP(C86,'Registre maintenance'!B:F,4,FALSE),"Non trouvé")</f>
        <v>Non trouvé</v>
      </c>
      <c r="J86" t="str">
        <f>IFERROR(VLOOKUP(C86,'Registre maintenance'!B:F,5,FALSE),"Non trouvé")</f>
        <v>Non trouvé</v>
      </c>
      <c r="K86" t="str">
        <f t="shared" si="11"/>
        <v>Mismatch</v>
      </c>
    </row>
    <row r="87" spans="1:11" x14ac:dyDescent="0.3">
      <c r="A87" t="s">
        <v>790</v>
      </c>
      <c r="B87" s="1">
        <v>45217.321527777778</v>
      </c>
      <c r="C87" t="s">
        <v>830</v>
      </c>
      <c r="D87">
        <v>118</v>
      </c>
      <c r="E87" t="s">
        <v>795</v>
      </c>
      <c r="F87" s="4" t="str">
        <f t="shared" si="14"/>
        <v>Kasai-Oriental</v>
      </c>
      <c r="G87" s="4" t="str">
        <f>IFERROR(VLOOKUP(C87,'Registre maintenance'!B:F,2,FALSE),"Non trouvé")</f>
        <v>Non trouvé</v>
      </c>
      <c r="H87" t="str">
        <f>IFERROR(VLOOKUP(C87,'Registre maintenance'!B:F,3,FALSE),"Non trouvé")</f>
        <v>Non trouvé</v>
      </c>
      <c r="I87" t="str">
        <f>IFERROR(VLOOKUP(C87,'Registre maintenance'!B:F,4,FALSE),"Non trouvé")</f>
        <v>Non trouvé</v>
      </c>
      <c r="J87" t="str">
        <f>IFERROR(VLOOKUP(C87,'Registre maintenance'!B:F,5,FALSE),"Non trouvé")</f>
        <v>Non trouvé</v>
      </c>
      <c r="K87" t="str">
        <f t="shared" si="11"/>
        <v>Mismatch</v>
      </c>
    </row>
    <row r="88" spans="1:11" x14ac:dyDescent="0.3">
      <c r="A88" t="s">
        <v>790</v>
      </c>
      <c r="B88" s="1">
        <v>45210.051388888889</v>
      </c>
      <c r="C88" t="s">
        <v>831</v>
      </c>
      <c r="D88">
        <v>73</v>
      </c>
      <c r="E88" t="s">
        <v>792</v>
      </c>
      <c r="F88" s="4" t="s">
        <v>36</v>
      </c>
      <c r="G88" s="4" t="str">
        <f>IFERROR(VLOOKUP(C88,'Registre maintenance'!B:F,2,FALSE),"Non trouvé")</f>
        <v>Tanganyika</v>
      </c>
      <c r="H88">
        <f>IFERROR(VLOOKUP(C88,'Registre maintenance'!B:F,3,FALSE),"Non trouvé")</f>
        <v>-10.776204</v>
      </c>
      <c r="I88">
        <f>IFERROR(VLOOKUP(C88,'Registre maintenance'!B:F,4,FALSE),"Non trouvé")</f>
        <v>24.672934000000001</v>
      </c>
      <c r="J88" t="str">
        <f>IFERROR(VLOOKUP(C88,'Registre maintenance'!B:F,5,FALSE),"Non trouvé")</f>
        <v>4G</v>
      </c>
      <c r="K88" t="str">
        <f t="shared" si="11"/>
        <v>OK</v>
      </c>
    </row>
    <row r="89" spans="1:11" x14ac:dyDescent="0.3">
      <c r="A89" t="s">
        <v>790</v>
      </c>
      <c r="B89" s="1">
        <v>45228.853472222218</v>
      </c>
      <c r="C89" t="s">
        <v>831</v>
      </c>
      <c r="D89">
        <v>42</v>
      </c>
      <c r="E89" t="s">
        <v>792</v>
      </c>
      <c r="F89" s="4" t="s">
        <v>36</v>
      </c>
      <c r="G89" s="4" t="str">
        <f>IFERROR(VLOOKUP(C89,'Registre maintenance'!B:F,2,FALSE),"Non trouvé")</f>
        <v>Tanganyika</v>
      </c>
      <c r="H89">
        <f>IFERROR(VLOOKUP(C89,'Registre maintenance'!B:F,3,FALSE),"Non trouvé")</f>
        <v>-10.776204</v>
      </c>
      <c r="I89">
        <f>IFERROR(VLOOKUP(C89,'Registre maintenance'!B:F,4,FALSE),"Non trouvé")</f>
        <v>24.672934000000001</v>
      </c>
      <c r="J89" t="str">
        <f>IFERROR(VLOOKUP(C89,'Registre maintenance'!B:F,5,FALSE),"Non trouvé")</f>
        <v>4G</v>
      </c>
      <c r="K89" t="str">
        <f t="shared" si="11"/>
        <v>OK</v>
      </c>
    </row>
    <row r="90" spans="1:11" x14ac:dyDescent="0.3">
      <c r="A90" t="s">
        <v>790</v>
      </c>
      <c r="B90" s="1">
        <v>45226.07708333333</v>
      </c>
      <c r="C90" t="s">
        <v>832</v>
      </c>
      <c r="D90">
        <v>101</v>
      </c>
      <c r="E90" t="s">
        <v>792</v>
      </c>
      <c r="F90" s="4" t="s">
        <v>20</v>
      </c>
      <c r="G90" s="4" t="str">
        <f>IFERROR(VLOOKUP(C90,'Registre maintenance'!B:F,2,FALSE),"Non trouvé")</f>
        <v>Sud-Kivu</v>
      </c>
      <c r="H90">
        <f>IFERROR(VLOOKUP(C90,'Registre maintenance'!B:F,3,FALSE),"Non trouvé")</f>
        <v>4.2493650000000001</v>
      </c>
      <c r="I90">
        <f>IFERROR(VLOOKUP(C90,'Registre maintenance'!B:F,4,FALSE),"Non trouvé")</f>
        <v>28.355039999999999</v>
      </c>
      <c r="J90" t="str">
        <f>IFERROR(VLOOKUP(C90,'Registre maintenance'!B:F,5,FALSE),"Non trouvé")</f>
        <v>3G</v>
      </c>
      <c r="K90" t="str">
        <f t="shared" si="11"/>
        <v>OK</v>
      </c>
    </row>
    <row r="91" spans="1:11" x14ac:dyDescent="0.3">
      <c r="A91" t="s">
        <v>1059</v>
      </c>
      <c r="B91" s="1">
        <v>45221.928472222222</v>
      </c>
      <c r="C91" t="s">
        <v>832</v>
      </c>
      <c r="D91">
        <v>21</v>
      </c>
      <c r="E91" t="s">
        <v>792</v>
      </c>
      <c r="F91" s="4" t="s">
        <v>20</v>
      </c>
      <c r="G91" s="4" t="str">
        <f>IFERROR(VLOOKUP(C91,'Registre maintenance'!B:F,2,FALSE),"Non trouvé")</f>
        <v>Sud-Kivu</v>
      </c>
      <c r="H91">
        <f>IFERROR(VLOOKUP(C91,'Registre maintenance'!B:F,3,FALSE),"Non trouvé")</f>
        <v>4.2493650000000001</v>
      </c>
      <c r="I91">
        <f>IFERROR(VLOOKUP(C91,'Registre maintenance'!B:F,4,FALSE),"Non trouvé")</f>
        <v>28.355039999999999</v>
      </c>
      <c r="J91" t="str">
        <f>IFERROR(VLOOKUP(C91,'Registre maintenance'!B:F,5,FALSE),"Non trouvé")</f>
        <v>3G</v>
      </c>
      <c r="K91" t="str">
        <f t="shared" si="11"/>
        <v>OK</v>
      </c>
    </row>
    <row r="92" spans="1:11" x14ac:dyDescent="0.3">
      <c r="A92" t="s">
        <v>839</v>
      </c>
      <c r="B92" s="1">
        <v>45213.254166666673</v>
      </c>
      <c r="C92" t="s">
        <v>842</v>
      </c>
      <c r="D92">
        <v>73</v>
      </c>
      <c r="E92" t="s">
        <v>797</v>
      </c>
      <c r="F92" s="4" t="s">
        <v>12</v>
      </c>
      <c r="G92" s="4" t="str">
        <f>IFERROR(VLOOKUP(C92,'Registre maintenance'!B:F,2,FALSE),"Non trouvé")</f>
        <v>Tshuapa</v>
      </c>
      <c r="H92">
        <f>IFERROR(VLOOKUP(C92,'Registre maintenance'!B:F,3,FALSE),"Non trouvé")</f>
        <v>-5.1030600000000002</v>
      </c>
      <c r="I92">
        <f>IFERROR(VLOOKUP(C92,'Registre maintenance'!B:F,4,FALSE),"Non trouvé")</f>
        <v>22.849231</v>
      </c>
      <c r="J92" t="str">
        <f>IFERROR(VLOOKUP(C92,'Registre maintenance'!B:F,5,FALSE),"Non trouvé")</f>
        <v>5G</v>
      </c>
      <c r="K92" t="str">
        <f t="shared" si="11"/>
        <v>OK</v>
      </c>
    </row>
    <row r="93" spans="1:11" x14ac:dyDescent="0.3">
      <c r="A93" t="s">
        <v>839</v>
      </c>
      <c r="B93" s="1">
        <v>45216.457638888889</v>
      </c>
      <c r="C93" t="s">
        <v>875</v>
      </c>
      <c r="D93">
        <v>39</v>
      </c>
      <c r="E93" t="s">
        <v>792</v>
      </c>
      <c r="F93" s="4" t="s">
        <v>32</v>
      </c>
      <c r="G93" s="4" t="str">
        <f>IFERROR(VLOOKUP(C93,'Registre maintenance'!B:F,2,FALSE),"Non trouvé")</f>
        <v>Kasai-Central</v>
      </c>
      <c r="H93">
        <f>IFERROR(VLOOKUP(C93,'Registre maintenance'!B:F,3,FALSE),"Non trouvé")</f>
        <v>-9.5266249999999992</v>
      </c>
      <c r="I93">
        <f>IFERROR(VLOOKUP(C93,'Registre maintenance'!B:F,4,FALSE),"Non trouvé")</f>
        <v>27.889690999999999</v>
      </c>
      <c r="J93" t="str">
        <f>IFERROR(VLOOKUP(C93,'Registre maintenance'!B:F,5,FALSE),"Non trouvé")</f>
        <v>4G</v>
      </c>
      <c r="K93" t="str">
        <f t="shared" si="11"/>
        <v>OK</v>
      </c>
    </row>
    <row r="94" spans="1:11" x14ac:dyDescent="0.3">
      <c r="A94" t="s">
        <v>790</v>
      </c>
      <c r="B94" s="1">
        <v>45210.511805555558</v>
      </c>
      <c r="D94">
        <v>39</v>
      </c>
      <c r="E94" t="s">
        <v>792</v>
      </c>
      <c r="F94" s="4" t="str">
        <f t="shared" ref="F94:F96" si="15">F93</f>
        <v>Kasai-Central</v>
      </c>
      <c r="G94" s="4" t="str">
        <f>IFERROR(VLOOKUP(C94,'Registre maintenance'!B:F,2,FALSE),"Non trouvé")</f>
        <v>Non trouvé</v>
      </c>
      <c r="H94" t="str">
        <f>IFERROR(VLOOKUP(C94,'Registre maintenance'!B:F,3,FALSE),"Non trouvé")</f>
        <v>Non trouvé</v>
      </c>
      <c r="I94" t="str">
        <f>IFERROR(VLOOKUP(C94,'Registre maintenance'!B:F,4,FALSE),"Non trouvé")</f>
        <v>Non trouvé</v>
      </c>
      <c r="J94" t="str">
        <f>IFERROR(VLOOKUP(C94,'Registre maintenance'!B:F,5,FALSE),"Non trouvé")</f>
        <v>Non trouvé</v>
      </c>
      <c r="K94" t="str">
        <f t="shared" si="11"/>
        <v>Mismatch</v>
      </c>
    </row>
    <row r="95" spans="1:11" x14ac:dyDescent="0.3">
      <c r="A95" t="s">
        <v>999</v>
      </c>
      <c r="B95" s="1">
        <v>45207.76666666667</v>
      </c>
      <c r="D95">
        <v>30</v>
      </c>
      <c r="E95" t="s">
        <v>797</v>
      </c>
      <c r="F95" s="4" t="str">
        <f t="shared" si="15"/>
        <v>Kasai-Central</v>
      </c>
      <c r="G95" s="4" t="str">
        <f>IFERROR(VLOOKUP(C95,'Registre maintenance'!B:F,2,FALSE),"Non trouvé")</f>
        <v>Non trouvé</v>
      </c>
      <c r="H95" t="str">
        <f>IFERROR(VLOOKUP(C95,'Registre maintenance'!B:F,3,FALSE),"Non trouvé")</f>
        <v>Non trouvé</v>
      </c>
      <c r="I95" t="str">
        <f>IFERROR(VLOOKUP(C95,'Registre maintenance'!B:F,4,FALSE),"Non trouvé")</f>
        <v>Non trouvé</v>
      </c>
      <c r="J95" t="str">
        <f>IFERROR(VLOOKUP(C95,'Registre maintenance'!B:F,5,FALSE),"Non trouvé")</f>
        <v>Non trouvé</v>
      </c>
      <c r="K95" t="str">
        <f t="shared" si="11"/>
        <v>Mismatch</v>
      </c>
    </row>
    <row r="96" spans="1:11" x14ac:dyDescent="0.3">
      <c r="A96" t="s">
        <v>1059</v>
      </c>
      <c r="B96" s="1">
        <v>45230.401388888888</v>
      </c>
      <c r="D96">
        <v>22</v>
      </c>
      <c r="E96" t="s">
        <v>792</v>
      </c>
      <c r="F96" s="4" t="str">
        <f t="shared" si="15"/>
        <v>Kasai-Central</v>
      </c>
      <c r="G96" s="4" t="str">
        <f>IFERROR(VLOOKUP(C96,'Registre maintenance'!B:F,2,FALSE),"Non trouvé")</f>
        <v>Non trouvé</v>
      </c>
      <c r="H96" t="str">
        <f>IFERROR(VLOOKUP(C96,'Registre maintenance'!B:F,3,FALSE),"Non trouvé")</f>
        <v>Non trouvé</v>
      </c>
      <c r="I96" t="str">
        <f>IFERROR(VLOOKUP(C96,'Registre maintenance'!B:F,4,FALSE),"Non trouvé")</f>
        <v>Non trouvé</v>
      </c>
      <c r="J96" t="str">
        <f>IFERROR(VLOOKUP(C96,'Registre maintenance'!B:F,5,FALSE),"Non trouvé")</f>
        <v>Non trouvé</v>
      </c>
      <c r="K96" t="str">
        <f t="shared" si="11"/>
        <v>Mismatch</v>
      </c>
    </row>
    <row r="97" spans="1:11" x14ac:dyDescent="0.3">
      <c r="A97" t="s">
        <v>1119</v>
      </c>
      <c r="B97" s="1">
        <v>45202.161805555559</v>
      </c>
      <c r="C97" t="s">
        <v>1122</v>
      </c>
      <c r="D97">
        <v>61</v>
      </c>
      <c r="E97" t="s">
        <v>795</v>
      </c>
      <c r="F97" s="4" t="s">
        <v>129</v>
      </c>
      <c r="G97" s="4" t="str">
        <f>IFERROR(VLOOKUP(C97,'Registre maintenance'!B:F,2,FALSE),"Non trouvé")</f>
        <v>Nord-Kivu</v>
      </c>
      <c r="H97">
        <f>IFERROR(VLOOKUP(C97,'Registre maintenance'!B:F,3,FALSE),"Non trouvé")</f>
        <v>-6.5529849999999996</v>
      </c>
      <c r="I97">
        <f>IFERROR(VLOOKUP(C97,'Registre maintenance'!B:F,4,FALSE),"Non trouvé")</f>
        <v>21.990606</v>
      </c>
      <c r="J97" t="str">
        <f>IFERROR(VLOOKUP(C97,'Registre maintenance'!B:F,5,FALSE),"Non trouvé")</f>
        <v>3G</v>
      </c>
      <c r="K97" t="str">
        <f t="shared" si="11"/>
        <v>OK</v>
      </c>
    </row>
    <row r="98" spans="1:11" x14ac:dyDescent="0.3">
      <c r="A98" t="s">
        <v>790</v>
      </c>
      <c r="B98" s="1">
        <v>45202.290277777778</v>
      </c>
      <c r="C98" t="s">
        <v>833</v>
      </c>
      <c r="D98">
        <v>103</v>
      </c>
      <c r="E98" t="s">
        <v>795</v>
      </c>
      <c r="F98" s="4" t="s">
        <v>59</v>
      </c>
      <c r="G98" s="4" t="str">
        <f>IFERROR(VLOOKUP(C98,'Registre maintenance'!B:F,2,FALSE),"Non trouvé")</f>
        <v>Equateur</v>
      </c>
      <c r="H98">
        <f>IFERROR(VLOOKUP(C98,'Registre maintenance'!B:F,3,FALSE),"Non trouvé")</f>
        <v>4.9250049999999996</v>
      </c>
      <c r="I98">
        <f>IFERROR(VLOOKUP(C98,'Registre maintenance'!B:F,4,FALSE),"Non trouvé")</f>
        <v>19.887931999999999</v>
      </c>
      <c r="J98" t="str">
        <f>IFERROR(VLOOKUP(C98,'Registre maintenance'!B:F,5,FALSE),"Non trouvé")</f>
        <v>4G</v>
      </c>
      <c r="K98" t="str">
        <f t="shared" si="11"/>
        <v>OK</v>
      </c>
    </row>
    <row r="99" spans="1:11" x14ac:dyDescent="0.3">
      <c r="A99" t="s">
        <v>962</v>
      </c>
      <c r="B99" s="1">
        <v>45206.362500000003</v>
      </c>
      <c r="C99" t="s">
        <v>979</v>
      </c>
      <c r="D99">
        <v>60</v>
      </c>
      <c r="E99" t="s">
        <v>797</v>
      </c>
      <c r="F99" s="4" t="s">
        <v>77</v>
      </c>
      <c r="G99" s="4" t="str">
        <f>IFERROR(VLOOKUP(C99,'Registre maintenance'!B:F,2,FALSE),"Non trouvé")</f>
        <v>Maniema</v>
      </c>
      <c r="H99">
        <f>IFERROR(VLOOKUP(C99,'Registre maintenance'!B:F,3,FALSE),"Non trouvé")</f>
        <v>-4.2645619999999997</v>
      </c>
      <c r="I99">
        <f>IFERROR(VLOOKUP(C99,'Registre maintenance'!B:F,4,FALSE),"Non trouvé")</f>
        <v>18.960726000000001</v>
      </c>
      <c r="J99" t="str">
        <f>IFERROR(VLOOKUP(C99,'Registre maintenance'!B:F,5,FALSE),"Non trouvé")</f>
        <v>4G</v>
      </c>
      <c r="K99" t="str">
        <f t="shared" si="11"/>
        <v>OK</v>
      </c>
    </row>
    <row r="100" spans="1:11" x14ac:dyDescent="0.3">
      <c r="A100" t="s">
        <v>790</v>
      </c>
      <c r="B100" s="1">
        <v>45230.788888888892</v>
      </c>
      <c r="C100" t="s">
        <v>834</v>
      </c>
      <c r="D100">
        <v>87</v>
      </c>
      <c r="E100" t="s">
        <v>795</v>
      </c>
      <c r="F100" s="4" t="str">
        <f t="shared" ref="F100:F104" si="16">F99</f>
        <v>Maniema</v>
      </c>
      <c r="G100" s="4" t="str">
        <f>IFERROR(VLOOKUP(C100,'Registre maintenance'!B:F,2,FALSE),"Non trouvé")</f>
        <v>Non trouvé</v>
      </c>
      <c r="H100" t="str">
        <f>IFERROR(VLOOKUP(C100,'Registre maintenance'!B:F,3,FALSE),"Non trouvé")</f>
        <v>Non trouvé</v>
      </c>
      <c r="I100" t="str">
        <f>IFERROR(VLOOKUP(C100,'Registre maintenance'!B:F,4,FALSE),"Non trouvé")</f>
        <v>Non trouvé</v>
      </c>
      <c r="J100" t="str">
        <f>IFERROR(VLOOKUP(C100,'Registre maintenance'!B:F,5,FALSE),"Non trouvé")</f>
        <v>Non trouvé</v>
      </c>
      <c r="K100" t="str">
        <f t="shared" si="11"/>
        <v>Mismatch</v>
      </c>
    </row>
    <row r="101" spans="1:11" x14ac:dyDescent="0.3">
      <c r="A101" t="s">
        <v>962</v>
      </c>
      <c r="B101" s="1">
        <v>45200.093055555553</v>
      </c>
      <c r="C101" t="s">
        <v>834</v>
      </c>
      <c r="D101">
        <v>63</v>
      </c>
      <c r="E101" t="s">
        <v>795</v>
      </c>
      <c r="F101" s="4" t="str">
        <f t="shared" si="16"/>
        <v>Maniema</v>
      </c>
      <c r="G101" s="4" t="str">
        <f>IFERROR(VLOOKUP(C101,'Registre maintenance'!B:F,2,FALSE),"Non trouvé")</f>
        <v>Non trouvé</v>
      </c>
      <c r="H101" t="str">
        <f>IFERROR(VLOOKUP(C101,'Registre maintenance'!B:F,3,FALSE),"Non trouvé")</f>
        <v>Non trouvé</v>
      </c>
      <c r="I101" t="str">
        <f>IFERROR(VLOOKUP(C101,'Registre maintenance'!B:F,4,FALSE),"Non trouvé")</f>
        <v>Non trouvé</v>
      </c>
      <c r="J101" t="str">
        <f>IFERROR(VLOOKUP(C101,'Registre maintenance'!B:F,5,FALSE),"Non trouvé")</f>
        <v>Non trouvé</v>
      </c>
      <c r="K101" t="str">
        <f t="shared" si="11"/>
        <v>Mismatch</v>
      </c>
    </row>
    <row r="102" spans="1:11" x14ac:dyDescent="0.3">
      <c r="A102" t="s">
        <v>790</v>
      </c>
      <c r="B102" s="1">
        <v>45222.425694444442</v>
      </c>
      <c r="C102" t="s">
        <v>835</v>
      </c>
      <c r="D102">
        <v>48</v>
      </c>
      <c r="E102" t="s">
        <v>792</v>
      </c>
      <c r="F102" s="4" t="str">
        <f t="shared" si="16"/>
        <v>Maniema</v>
      </c>
      <c r="G102" s="4" t="str">
        <f>IFERROR(VLOOKUP(C102,'Registre maintenance'!B:F,2,FALSE),"Non trouvé")</f>
        <v>Non trouvé</v>
      </c>
      <c r="H102" t="str">
        <f>IFERROR(VLOOKUP(C102,'Registre maintenance'!B:F,3,FALSE),"Non trouvé")</f>
        <v>Non trouvé</v>
      </c>
      <c r="I102" t="str">
        <f>IFERROR(VLOOKUP(C102,'Registre maintenance'!B:F,4,FALSE),"Non trouvé")</f>
        <v>Non trouvé</v>
      </c>
      <c r="J102" t="str">
        <f>IFERROR(VLOOKUP(C102,'Registre maintenance'!B:F,5,FALSE),"Non trouvé")</f>
        <v>Non trouvé</v>
      </c>
      <c r="K102" t="str">
        <f t="shared" si="11"/>
        <v>Mismatch</v>
      </c>
    </row>
    <row r="103" spans="1:11" x14ac:dyDescent="0.3">
      <c r="A103" t="s">
        <v>790</v>
      </c>
      <c r="B103" s="1">
        <v>45220.642361111109</v>
      </c>
      <c r="C103" t="s">
        <v>836</v>
      </c>
      <c r="D103">
        <v>19</v>
      </c>
      <c r="E103" t="s">
        <v>792</v>
      </c>
      <c r="F103" s="4" t="str">
        <f t="shared" si="16"/>
        <v>Maniema</v>
      </c>
      <c r="G103" s="4" t="str">
        <f>IFERROR(VLOOKUP(C103,'Registre maintenance'!B:F,2,FALSE),"Non trouvé")</f>
        <v>Non trouvé</v>
      </c>
      <c r="H103" t="str">
        <f>IFERROR(VLOOKUP(C103,'Registre maintenance'!B:F,3,FALSE),"Non trouvé")</f>
        <v>Non trouvé</v>
      </c>
      <c r="I103" t="str">
        <f>IFERROR(VLOOKUP(C103,'Registre maintenance'!B:F,4,FALSE),"Non trouvé")</f>
        <v>Non trouvé</v>
      </c>
      <c r="J103" t="str">
        <f>IFERROR(VLOOKUP(C103,'Registre maintenance'!B:F,5,FALSE),"Non trouvé")</f>
        <v>Non trouvé</v>
      </c>
      <c r="K103" t="str">
        <f t="shared" si="11"/>
        <v>Mismatch</v>
      </c>
    </row>
    <row r="104" spans="1:11" x14ac:dyDescent="0.3">
      <c r="A104" t="s">
        <v>921</v>
      </c>
      <c r="B104" s="1">
        <v>45230.834722222222</v>
      </c>
      <c r="C104" t="s">
        <v>836</v>
      </c>
      <c r="D104">
        <v>46</v>
      </c>
      <c r="E104" t="s">
        <v>795</v>
      </c>
      <c r="F104" s="4" t="str">
        <f t="shared" si="16"/>
        <v>Maniema</v>
      </c>
      <c r="G104" s="4" t="str">
        <f>IFERROR(VLOOKUP(C104,'Registre maintenance'!B:F,2,FALSE),"Non trouvé")</f>
        <v>Non trouvé</v>
      </c>
      <c r="H104" t="str">
        <f>IFERROR(VLOOKUP(C104,'Registre maintenance'!B:F,3,FALSE),"Non trouvé")</f>
        <v>Non trouvé</v>
      </c>
      <c r="I104" t="str">
        <f>IFERROR(VLOOKUP(C104,'Registre maintenance'!B:F,4,FALSE),"Non trouvé")</f>
        <v>Non trouvé</v>
      </c>
      <c r="J104" t="str">
        <f>IFERROR(VLOOKUP(C104,'Registre maintenance'!B:F,5,FALSE),"Non trouvé")</f>
        <v>Non trouvé</v>
      </c>
      <c r="K104" t="str">
        <f t="shared" si="11"/>
        <v>Mismatch</v>
      </c>
    </row>
    <row r="105" spans="1:11" x14ac:dyDescent="0.3">
      <c r="A105" t="s">
        <v>1084</v>
      </c>
      <c r="B105" s="1">
        <v>45219.683333333327</v>
      </c>
      <c r="C105" t="s">
        <v>1088</v>
      </c>
      <c r="D105">
        <v>99</v>
      </c>
      <c r="E105" t="s">
        <v>795</v>
      </c>
      <c r="F105" s="4" t="s">
        <v>61</v>
      </c>
      <c r="G105" s="4" t="str">
        <f>IFERROR(VLOOKUP(C105,'Registre maintenance'!B:F,2,FALSE),"Non trouvé")</f>
        <v>Kongo-Central</v>
      </c>
      <c r="H105">
        <f>IFERROR(VLOOKUP(C105,'Registre maintenance'!B:F,3,FALSE),"Non trouvé")</f>
        <v>-9.5840350000000001</v>
      </c>
      <c r="I105">
        <f>IFERROR(VLOOKUP(C105,'Registre maintenance'!B:F,4,FALSE),"Non trouvé")</f>
        <v>15.966024000000001</v>
      </c>
      <c r="J105" t="str">
        <f>IFERROR(VLOOKUP(C105,'Registre maintenance'!B:F,5,FALSE),"Non trouvé")</f>
        <v>5G</v>
      </c>
      <c r="K105" t="str">
        <f t="shared" si="11"/>
        <v>OK</v>
      </c>
    </row>
    <row r="106" spans="1:11" x14ac:dyDescent="0.3">
      <c r="A106" t="s">
        <v>790</v>
      </c>
      <c r="B106" s="1">
        <v>45204.338888888888</v>
      </c>
      <c r="C106" t="s">
        <v>837</v>
      </c>
      <c r="D106">
        <v>60</v>
      </c>
      <c r="E106" t="s">
        <v>792</v>
      </c>
      <c r="F106" s="4" t="str">
        <f>F105</f>
        <v>Kongo-Central</v>
      </c>
      <c r="G106" s="4" t="str">
        <f>IFERROR(VLOOKUP(C106,'Registre maintenance'!B:F,2,FALSE),"Non trouvé")</f>
        <v>Non trouvé</v>
      </c>
      <c r="H106" t="str">
        <f>IFERROR(VLOOKUP(C106,'Registre maintenance'!B:F,3,FALSE),"Non trouvé")</f>
        <v>Non trouvé</v>
      </c>
      <c r="I106" t="str">
        <f>IFERROR(VLOOKUP(C106,'Registre maintenance'!B:F,4,FALSE),"Non trouvé")</f>
        <v>Non trouvé</v>
      </c>
      <c r="J106" t="str">
        <f>IFERROR(VLOOKUP(C106,'Registre maintenance'!B:F,5,FALSE),"Non trouvé")</f>
        <v>Non trouvé</v>
      </c>
      <c r="K106" t="str">
        <f t="shared" si="11"/>
        <v>Mismatch</v>
      </c>
    </row>
    <row r="107" spans="1:11" x14ac:dyDescent="0.3">
      <c r="A107" t="s">
        <v>790</v>
      </c>
      <c r="B107" s="1">
        <v>45207.982638888891</v>
      </c>
      <c r="C107" t="s">
        <v>838</v>
      </c>
      <c r="D107">
        <v>25</v>
      </c>
      <c r="E107" t="s">
        <v>797</v>
      </c>
      <c r="F107" s="4" t="s">
        <v>129</v>
      </c>
      <c r="G107" s="4" t="str">
        <f>IFERROR(VLOOKUP(C107,'Registre maintenance'!B:F,2,FALSE),"Non trouvé")</f>
        <v>Nord-Kivu</v>
      </c>
      <c r="H107">
        <f>IFERROR(VLOOKUP(C107,'Registre maintenance'!B:F,3,FALSE),"Non trouvé")</f>
        <v>-11.866133</v>
      </c>
      <c r="I107">
        <f>IFERROR(VLOOKUP(C107,'Registre maintenance'!B:F,4,FALSE),"Non trouvé")</f>
        <v>27.068932</v>
      </c>
      <c r="J107" t="str">
        <f>IFERROR(VLOOKUP(C107,'Registre maintenance'!B:F,5,FALSE),"Non trouvé")</f>
        <v>3G</v>
      </c>
      <c r="K107" t="str">
        <f t="shared" si="11"/>
        <v>OK</v>
      </c>
    </row>
    <row r="108" spans="1:11" x14ac:dyDescent="0.3">
      <c r="A108" t="s">
        <v>1084</v>
      </c>
      <c r="B108" s="1">
        <v>45215.67291666667</v>
      </c>
      <c r="C108" t="s">
        <v>838</v>
      </c>
      <c r="D108">
        <v>117</v>
      </c>
      <c r="E108" t="s">
        <v>797</v>
      </c>
      <c r="F108" s="4" t="s">
        <v>129</v>
      </c>
      <c r="G108" s="4" t="str">
        <f>IFERROR(VLOOKUP(C108,'Registre maintenance'!B:F,2,FALSE),"Non trouvé")</f>
        <v>Nord-Kivu</v>
      </c>
      <c r="H108">
        <f>IFERROR(VLOOKUP(C108,'Registre maintenance'!B:F,3,FALSE),"Non trouvé")</f>
        <v>-11.866133</v>
      </c>
      <c r="I108">
        <f>IFERROR(VLOOKUP(C108,'Registre maintenance'!B:F,4,FALSE),"Non trouvé")</f>
        <v>27.068932</v>
      </c>
      <c r="J108" t="str">
        <f>IFERROR(VLOOKUP(C108,'Registre maintenance'!B:F,5,FALSE),"Non trouvé")</f>
        <v>3G</v>
      </c>
      <c r="K108" t="str">
        <f t="shared" si="11"/>
        <v>OK</v>
      </c>
    </row>
    <row r="109" spans="1:11" x14ac:dyDescent="0.3">
      <c r="A109" t="s">
        <v>999</v>
      </c>
      <c r="B109" s="1">
        <v>45216.583333333343</v>
      </c>
      <c r="C109" t="s">
        <v>1008</v>
      </c>
      <c r="D109">
        <v>78</v>
      </c>
      <c r="E109" t="s">
        <v>797</v>
      </c>
      <c r="F109" s="4" t="s">
        <v>23</v>
      </c>
      <c r="G109" s="4" t="str">
        <f>IFERROR(VLOOKUP(C109,'Registre maintenance'!B:F,2,FALSE),"Non trouvé")</f>
        <v>Haut-Katanga</v>
      </c>
      <c r="H109">
        <f>IFERROR(VLOOKUP(C109,'Registre maintenance'!B:F,3,FALSE),"Non trouvé")</f>
        <v>0.16841400000000001</v>
      </c>
      <c r="I109">
        <f>IFERROR(VLOOKUP(C109,'Registre maintenance'!B:F,4,FALSE),"Non trouvé")</f>
        <v>30.029876999999999</v>
      </c>
      <c r="J109" t="str">
        <f>IFERROR(VLOOKUP(C109,'Registre maintenance'!B:F,5,FALSE),"Non trouvé")</f>
        <v>5G</v>
      </c>
      <c r="K109" t="str">
        <f t="shared" si="11"/>
        <v>OK</v>
      </c>
    </row>
    <row r="110" spans="1:11" x14ac:dyDescent="0.3">
      <c r="A110" t="s">
        <v>1084</v>
      </c>
      <c r="B110" s="1">
        <v>45220.893750000003</v>
      </c>
      <c r="C110" t="s">
        <v>1113</v>
      </c>
      <c r="D110">
        <v>101</v>
      </c>
      <c r="E110" t="s">
        <v>797</v>
      </c>
      <c r="F110" s="4" t="s">
        <v>25</v>
      </c>
      <c r="G110" s="4" t="str">
        <f>IFERROR(VLOOKUP(C110,'Registre maintenance'!B:F,2,FALSE),"Non trouvé")</f>
        <v>Bas-Uele</v>
      </c>
      <c r="H110">
        <f>IFERROR(VLOOKUP(C110,'Registre maintenance'!B:F,3,FALSE),"Non trouvé")</f>
        <v>-2.2876210000000001</v>
      </c>
      <c r="I110">
        <f>IFERROR(VLOOKUP(C110,'Registre maintenance'!B:F,4,FALSE),"Non trouvé")</f>
        <v>27.582545</v>
      </c>
      <c r="J110" t="str">
        <f>IFERROR(VLOOKUP(C110,'Registre maintenance'!B:F,5,FALSE),"Non trouvé")</f>
        <v>4G</v>
      </c>
      <c r="K110" t="str">
        <f t="shared" si="11"/>
        <v>OK</v>
      </c>
    </row>
    <row r="111" spans="1:11" x14ac:dyDescent="0.3">
      <c r="A111" t="s">
        <v>839</v>
      </c>
      <c r="B111" s="1">
        <v>45218.635416666657</v>
      </c>
      <c r="C111" t="s">
        <v>840</v>
      </c>
      <c r="D111">
        <v>17</v>
      </c>
      <c r="E111" t="s">
        <v>797</v>
      </c>
      <c r="F111" s="4" t="str">
        <f t="shared" ref="F111:F112" si="17">F110</f>
        <v>Bas-Uele</v>
      </c>
      <c r="G111" s="4" t="str">
        <f>IFERROR(VLOOKUP(C111,'Registre maintenance'!B:F,2,FALSE),"Non trouvé")</f>
        <v>Non trouvé</v>
      </c>
      <c r="H111" t="str">
        <f>IFERROR(VLOOKUP(C111,'Registre maintenance'!B:F,3,FALSE),"Non trouvé")</f>
        <v>Non trouvé</v>
      </c>
      <c r="I111" t="str">
        <f>IFERROR(VLOOKUP(C111,'Registre maintenance'!B:F,4,FALSE),"Non trouvé")</f>
        <v>Non trouvé</v>
      </c>
      <c r="J111" t="str">
        <f>IFERROR(VLOOKUP(C111,'Registre maintenance'!B:F,5,FALSE),"Non trouvé")</f>
        <v>Non trouvé</v>
      </c>
      <c r="K111" t="str">
        <f t="shared" si="11"/>
        <v>Mismatch</v>
      </c>
    </row>
    <row r="112" spans="1:11" x14ac:dyDescent="0.3">
      <c r="A112" t="s">
        <v>839</v>
      </c>
      <c r="B112" s="1">
        <v>45214.185416666667</v>
      </c>
      <c r="C112" t="s">
        <v>840</v>
      </c>
      <c r="D112">
        <v>36</v>
      </c>
      <c r="E112" t="s">
        <v>795</v>
      </c>
      <c r="F112" s="4" t="str">
        <f t="shared" si="17"/>
        <v>Bas-Uele</v>
      </c>
      <c r="G112" s="4" t="str">
        <f>IFERROR(VLOOKUP(C112,'Registre maintenance'!B:F,2,FALSE),"Non trouvé")</f>
        <v>Non trouvé</v>
      </c>
      <c r="H112" t="str">
        <f>IFERROR(VLOOKUP(C112,'Registre maintenance'!B:F,3,FALSE),"Non trouvé")</f>
        <v>Non trouvé</v>
      </c>
      <c r="I112" t="str">
        <f>IFERROR(VLOOKUP(C112,'Registre maintenance'!B:F,4,FALSE),"Non trouvé")</f>
        <v>Non trouvé</v>
      </c>
      <c r="J112" t="str">
        <f>IFERROR(VLOOKUP(C112,'Registre maintenance'!B:F,5,FALSE),"Non trouvé")</f>
        <v>Non trouvé</v>
      </c>
      <c r="K112" t="str">
        <f t="shared" si="11"/>
        <v>Mismatch</v>
      </c>
    </row>
    <row r="113" spans="1:11" x14ac:dyDescent="0.3">
      <c r="A113" t="s">
        <v>883</v>
      </c>
      <c r="B113" s="1">
        <v>45225.965277777781</v>
      </c>
      <c r="C113" t="s">
        <v>912</v>
      </c>
      <c r="D113">
        <v>36</v>
      </c>
      <c r="E113" t="s">
        <v>792</v>
      </c>
      <c r="F113" s="4" t="s">
        <v>36</v>
      </c>
      <c r="G113" s="4" t="str">
        <f>IFERROR(VLOOKUP(C113,'Registre maintenance'!B:F,2,FALSE),"Non trouvé")</f>
        <v>Tanganyika</v>
      </c>
      <c r="H113">
        <f>IFERROR(VLOOKUP(C113,'Registre maintenance'!B:F,3,FALSE),"Non trouvé")</f>
        <v>-9.002459</v>
      </c>
      <c r="I113">
        <f>IFERROR(VLOOKUP(C113,'Registre maintenance'!B:F,4,FALSE),"Non trouvé")</f>
        <v>25.182109000000001</v>
      </c>
      <c r="J113" t="str">
        <f>IFERROR(VLOOKUP(C113,'Registre maintenance'!B:F,5,FALSE),"Non trouvé")</f>
        <v>5G</v>
      </c>
      <c r="K113" t="str">
        <f t="shared" si="11"/>
        <v>OK</v>
      </c>
    </row>
    <row r="114" spans="1:11" x14ac:dyDescent="0.3">
      <c r="A114" t="s">
        <v>1038</v>
      </c>
      <c r="B114" s="1">
        <v>45226.586805555547</v>
      </c>
      <c r="C114" t="s">
        <v>1050</v>
      </c>
      <c r="D114">
        <v>33</v>
      </c>
      <c r="E114" t="s">
        <v>797</v>
      </c>
      <c r="F114" s="4" t="s">
        <v>87</v>
      </c>
      <c r="G114" s="4" t="str">
        <f>IFERROR(VLOOKUP(C114,'Registre maintenance'!B:F,2,FALSE),"Non trouvé")</f>
        <v>Nord-Ubangi</v>
      </c>
      <c r="H114">
        <f>IFERROR(VLOOKUP(C114,'Registre maintenance'!B:F,3,FALSE),"Non trouvé")</f>
        <v>-7.7839049999999999</v>
      </c>
      <c r="I114">
        <f>IFERROR(VLOOKUP(C114,'Registre maintenance'!B:F,4,FALSE),"Non trouvé")</f>
        <v>14.114281999999999</v>
      </c>
      <c r="J114" t="str">
        <f>IFERROR(VLOOKUP(C114,'Registre maintenance'!B:F,5,FALSE),"Non trouvé")</f>
        <v>3G</v>
      </c>
      <c r="K114" t="str">
        <f t="shared" si="11"/>
        <v>OK</v>
      </c>
    </row>
    <row r="115" spans="1:11" x14ac:dyDescent="0.3">
      <c r="A115" t="s">
        <v>1059</v>
      </c>
      <c r="B115" s="1">
        <v>45201.009027777778</v>
      </c>
      <c r="C115" t="s">
        <v>1050</v>
      </c>
      <c r="D115">
        <v>56</v>
      </c>
      <c r="E115" t="s">
        <v>795</v>
      </c>
      <c r="F115" s="4" t="s">
        <v>87</v>
      </c>
      <c r="G115" s="4" t="str">
        <f>IFERROR(VLOOKUP(C115,'Registre maintenance'!B:F,2,FALSE),"Non trouvé")</f>
        <v>Nord-Ubangi</v>
      </c>
      <c r="H115">
        <f>IFERROR(VLOOKUP(C115,'Registre maintenance'!B:F,3,FALSE),"Non trouvé")</f>
        <v>-7.7839049999999999</v>
      </c>
      <c r="I115">
        <f>IFERROR(VLOOKUP(C115,'Registre maintenance'!B:F,4,FALSE),"Non trouvé")</f>
        <v>14.114281999999999</v>
      </c>
      <c r="J115" t="str">
        <f>IFERROR(VLOOKUP(C115,'Registre maintenance'!B:F,5,FALSE),"Non trouvé")</f>
        <v>3G</v>
      </c>
      <c r="K115" t="str">
        <f t="shared" si="11"/>
        <v>OK</v>
      </c>
    </row>
    <row r="116" spans="1:11" x14ac:dyDescent="0.3">
      <c r="A116" t="s">
        <v>839</v>
      </c>
      <c r="B116" s="1">
        <v>45225.660416666673</v>
      </c>
      <c r="C116" t="s">
        <v>841</v>
      </c>
      <c r="D116">
        <v>14</v>
      </c>
      <c r="E116" t="s">
        <v>792</v>
      </c>
      <c r="F116" s="4" t="str">
        <f t="shared" ref="F116:F117" si="18">F115</f>
        <v>Nord-Ubangi</v>
      </c>
      <c r="G116" s="4" t="str">
        <f>IFERROR(VLOOKUP(C116,'Registre maintenance'!B:F,2,FALSE),"Non trouvé")</f>
        <v>Non trouvé</v>
      </c>
      <c r="H116" t="str">
        <f>IFERROR(VLOOKUP(C116,'Registre maintenance'!B:F,3,FALSE),"Non trouvé")</f>
        <v>Non trouvé</v>
      </c>
      <c r="I116" t="str">
        <f>IFERROR(VLOOKUP(C116,'Registre maintenance'!B:F,4,FALSE),"Non trouvé")</f>
        <v>Non trouvé</v>
      </c>
      <c r="J116" t="str">
        <f>IFERROR(VLOOKUP(C116,'Registre maintenance'!B:F,5,FALSE),"Non trouvé")</f>
        <v>Non trouvé</v>
      </c>
      <c r="K116" t="str">
        <f t="shared" si="11"/>
        <v>Mismatch</v>
      </c>
    </row>
    <row r="117" spans="1:11" x14ac:dyDescent="0.3">
      <c r="A117" t="s">
        <v>1038</v>
      </c>
      <c r="B117" s="1">
        <v>45208.047222222223</v>
      </c>
      <c r="C117" t="s">
        <v>841</v>
      </c>
      <c r="D117">
        <v>92</v>
      </c>
      <c r="E117" t="s">
        <v>797</v>
      </c>
      <c r="F117" s="4" t="str">
        <f t="shared" si="18"/>
        <v>Nord-Ubangi</v>
      </c>
      <c r="G117" s="4" t="str">
        <f>IFERROR(VLOOKUP(C117,'Registre maintenance'!B:F,2,FALSE),"Non trouvé")</f>
        <v>Non trouvé</v>
      </c>
      <c r="H117" t="str">
        <f>IFERROR(VLOOKUP(C117,'Registre maintenance'!B:F,3,FALSE),"Non trouvé")</f>
        <v>Non trouvé</v>
      </c>
      <c r="I117" t="str">
        <f>IFERROR(VLOOKUP(C117,'Registre maintenance'!B:F,4,FALSE),"Non trouvé")</f>
        <v>Non trouvé</v>
      </c>
      <c r="J117" t="str">
        <f>IFERROR(VLOOKUP(C117,'Registre maintenance'!B:F,5,FALSE),"Non trouvé")</f>
        <v>Non trouvé</v>
      </c>
      <c r="K117" t="str">
        <f t="shared" si="11"/>
        <v>Mismatch</v>
      </c>
    </row>
    <row r="118" spans="1:11" x14ac:dyDescent="0.3">
      <c r="A118" t="s">
        <v>839</v>
      </c>
      <c r="B118" s="1">
        <v>45207.102777777778</v>
      </c>
      <c r="C118" t="s">
        <v>851</v>
      </c>
      <c r="D118">
        <v>41</v>
      </c>
      <c r="E118" t="s">
        <v>792</v>
      </c>
      <c r="F118" s="4" t="s">
        <v>50</v>
      </c>
      <c r="G118" s="4" t="str">
        <f>IFERROR(VLOOKUP(C118,'Registre maintenance'!B:F,2,FALSE),"Non trouvé")</f>
        <v>Kwilu</v>
      </c>
      <c r="H118">
        <f>IFERROR(VLOOKUP(C118,'Registre maintenance'!B:F,3,FALSE),"Non trouvé")</f>
        <v>-5.9021970000000001</v>
      </c>
      <c r="I118">
        <f>IFERROR(VLOOKUP(C118,'Registre maintenance'!B:F,4,FALSE),"Non trouvé")</f>
        <v>20.551169999999999</v>
      </c>
      <c r="J118" t="str">
        <f>IFERROR(VLOOKUP(C118,'Registre maintenance'!B:F,5,FALSE),"Non trouvé")</f>
        <v>3G</v>
      </c>
      <c r="K118" t="str">
        <f t="shared" si="11"/>
        <v>OK</v>
      </c>
    </row>
    <row r="119" spans="1:11" x14ac:dyDescent="0.3">
      <c r="A119" t="s">
        <v>839</v>
      </c>
      <c r="B119" s="1">
        <v>45221.775000000001</v>
      </c>
      <c r="C119" t="s">
        <v>874</v>
      </c>
      <c r="D119">
        <v>24</v>
      </c>
      <c r="E119" t="s">
        <v>792</v>
      </c>
      <c r="F119" s="4" t="s">
        <v>15</v>
      </c>
      <c r="G119" s="4" t="str">
        <f>IFERROR(VLOOKUP(C119,'Registre maintenance'!B:F,2,FALSE),"Non trouvé")</f>
        <v>Mongala</v>
      </c>
      <c r="H119">
        <f>IFERROR(VLOOKUP(C119,'Registre maintenance'!B:F,3,FALSE),"Non trouvé")</f>
        <v>-11.514188000000001</v>
      </c>
      <c r="I119">
        <f>IFERROR(VLOOKUP(C119,'Registre maintenance'!B:F,4,FALSE),"Non trouvé")</f>
        <v>15.971181</v>
      </c>
      <c r="J119" t="str">
        <f>IFERROR(VLOOKUP(C119,'Registre maintenance'!B:F,5,FALSE),"Non trouvé")</f>
        <v>5G</v>
      </c>
      <c r="K119" t="str">
        <f t="shared" si="11"/>
        <v>OK</v>
      </c>
    </row>
    <row r="120" spans="1:11" x14ac:dyDescent="0.3">
      <c r="A120" t="s">
        <v>839</v>
      </c>
      <c r="B120" s="1">
        <v>45203.893750000003</v>
      </c>
      <c r="C120" t="s">
        <v>843</v>
      </c>
      <c r="D120">
        <v>32</v>
      </c>
      <c r="E120" t="s">
        <v>792</v>
      </c>
      <c r="F120" s="4" t="str">
        <f t="shared" ref="F120:F121" si="19">F119</f>
        <v>Mongala</v>
      </c>
      <c r="G120" s="4" t="str">
        <f>IFERROR(VLOOKUP(C120,'Registre maintenance'!B:F,2,FALSE),"Non trouvé")</f>
        <v>Non trouvé</v>
      </c>
      <c r="H120" t="str">
        <f>IFERROR(VLOOKUP(C120,'Registre maintenance'!B:F,3,FALSE),"Non trouvé")</f>
        <v>Non trouvé</v>
      </c>
      <c r="I120" t="str">
        <f>IFERROR(VLOOKUP(C120,'Registre maintenance'!B:F,4,FALSE),"Non trouvé")</f>
        <v>Non trouvé</v>
      </c>
      <c r="J120" t="str">
        <f>IFERROR(VLOOKUP(C120,'Registre maintenance'!B:F,5,FALSE),"Non trouvé")</f>
        <v>Non trouvé</v>
      </c>
      <c r="K120" t="str">
        <f t="shared" si="11"/>
        <v>Mismatch</v>
      </c>
    </row>
    <row r="121" spans="1:11" x14ac:dyDescent="0.3">
      <c r="A121" t="s">
        <v>1038</v>
      </c>
      <c r="B121" s="1">
        <v>45208.172222222223</v>
      </c>
      <c r="C121" t="s">
        <v>843</v>
      </c>
      <c r="D121">
        <v>87</v>
      </c>
      <c r="E121" t="s">
        <v>792</v>
      </c>
      <c r="F121" s="4" t="str">
        <f t="shared" si="19"/>
        <v>Mongala</v>
      </c>
      <c r="G121" s="4" t="str">
        <f>IFERROR(VLOOKUP(C121,'Registre maintenance'!B:F,2,FALSE),"Non trouvé")</f>
        <v>Non trouvé</v>
      </c>
      <c r="H121" t="str">
        <f>IFERROR(VLOOKUP(C121,'Registre maintenance'!B:F,3,FALSE),"Non trouvé")</f>
        <v>Non trouvé</v>
      </c>
      <c r="I121" t="str">
        <f>IFERROR(VLOOKUP(C121,'Registre maintenance'!B:F,4,FALSE),"Non trouvé")</f>
        <v>Non trouvé</v>
      </c>
      <c r="J121" t="str">
        <f>IFERROR(VLOOKUP(C121,'Registre maintenance'!B:F,5,FALSE),"Non trouvé")</f>
        <v>Non trouvé</v>
      </c>
      <c r="K121" t="str">
        <f t="shared" si="11"/>
        <v>Mismatch</v>
      </c>
    </row>
    <row r="122" spans="1:11" x14ac:dyDescent="0.3">
      <c r="A122" t="s">
        <v>839</v>
      </c>
      <c r="B122" s="1">
        <v>45213.948611111111</v>
      </c>
      <c r="C122" t="s">
        <v>859</v>
      </c>
      <c r="D122">
        <v>72</v>
      </c>
      <c r="E122" t="s">
        <v>795</v>
      </c>
      <c r="F122" s="4" t="s">
        <v>34</v>
      </c>
      <c r="G122" s="4" t="str">
        <f>IFERROR(VLOOKUP(C122,'Registre maintenance'!B:F,2,FALSE),"Non trouvé")</f>
        <v>Sankuru</v>
      </c>
      <c r="H122">
        <f>IFERROR(VLOOKUP(C122,'Registre maintenance'!B:F,3,FALSE),"Non trouvé")</f>
        <v>-2.7140689999999998</v>
      </c>
      <c r="I122">
        <f>IFERROR(VLOOKUP(C122,'Registre maintenance'!B:F,4,FALSE),"Non trouvé")</f>
        <v>22.222104000000002</v>
      </c>
      <c r="J122" t="str">
        <f>IFERROR(VLOOKUP(C122,'Registre maintenance'!B:F,5,FALSE),"Non trouvé")</f>
        <v>4G</v>
      </c>
      <c r="K122" t="str">
        <f t="shared" si="11"/>
        <v>OK</v>
      </c>
    </row>
    <row r="123" spans="1:11" x14ac:dyDescent="0.3">
      <c r="A123" t="s">
        <v>1059</v>
      </c>
      <c r="B123" s="1">
        <v>45207.140277777777</v>
      </c>
      <c r="C123" t="s">
        <v>1063</v>
      </c>
      <c r="D123">
        <v>46</v>
      </c>
      <c r="E123" t="s">
        <v>795</v>
      </c>
      <c r="F123" s="4" t="s">
        <v>61</v>
      </c>
      <c r="G123" s="4" t="str">
        <f>IFERROR(VLOOKUP(C123,'Registre maintenance'!B:F,2,FALSE),"Non trouvé")</f>
        <v>Kongo-Central</v>
      </c>
      <c r="H123">
        <f>IFERROR(VLOOKUP(C123,'Registre maintenance'!B:F,3,FALSE),"Non trouvé")</f>
        <v>-12.112399999999999</v>
      </c>
      <c r="I123">
        <f>IFERROR(VLOOKUP(C123,'Registre maintenance'!B:F,4,FALSE),"Non trouvé")</f>
        <v>15.872226</v>
      </c>
      <c r="J123" t="str">
        <f>IFERROR(VLOOKUP(C123,'Registre maintenance'!B:F,5,FALSE),"Non trouvé")</f>
        <v>4G</v>
      </c>
      <c r="K123" t="str">
        <f t="shared" si="11"/>
        <v>OK</v>
      </c>
    </row>
    <row r="124" spans="1:11" x14ac:dyDescent="0.3">
      <c r="A124" t="s">
        <v>1084</v>
      </c>
      <c r="B124" s="1">
        <v>45220.847916666673</v>
      </c>
      <c r="C124" t="s">
        <v>1063</v>
      </c>
      <c r="D124">
        <v>103</v>
      </c>
      <c r="E124" t="s">
        <v>792</v>
      </c>
      <c r="F124" s="4" t="s">
        <v>61</v>
      </c>
      <c r="G124" s="4" t="str">
        <f>IFERROR(VLOOKUP(C124,'Registre maintenance'!B:F,2,FALSE),"Non trouvé")</f>
        <v>Kongo-Central</v>
      </c>
      <c r="H124">
        <f>IFERROR(VLOOKUP(C124,'Registre maintenance'!B:F,3,FALSE),"Non trouvé")</f>
        <v>-12.112399999999999</v>
      </c>
      <c r="I124">
        <f>IFERROR(VLOOKUP(C124,'Registre maintenance'!B:F,4,FALSE),"Non trouvé")</f>
        <v>15.872226</v>
      </c>
      <c r="J124" t="str">
        <f>IFERROR(VLOOKUP(C124,'Registre maintenance'!B:F,5,FALSE),"Non trouvé")</f>
        <v>4G</v>
      </c>
      <c r="K124" t="str">
        <f t="shared" si="11"/>
        <v>OK</v>
      </c>
    </row>
    <row r="125" spans="1:11" x14ac:dyDescent="0.3">
      <c r="A125" t="s">
        <v>839</v>
      </c>
      <c r="B125" s="1">
        <v>45214.960416666669</v>
      </c>
      <c r="C125" t="s">
        <v>844</v>
      </c>
      <c r="D125">
        <v>38</v>
      </c>
      <c r="E125" t="s">
        <v>792</v>
      </c>
      <c r="F125" s="4" t="s">
        <v>135</v>
      </c>
      <c r="G125" s="4" t="str">
        <f>IFERROR(VLOOKUP(C125,'Registre maintenance'!B:F,2,FALSE),"Non trouvé")</f>
        <v>Lualaba</v>
      </c>
      <c r="H125">
        <f>IFERROR(VLOOKUP(C125,'Registre maintenance'!B:F,3,FALSE),"Non trouvé")</f>
        <v>-11.710407999999999</v>
      </c>
      <c r="I125">
        <f>IFERROR(VLOOKUP(C125,'Registre maintenance'!B:F,4,FALSE),"Non trouvé")</f>
        <v>23.741330999999999</v>
      </c>
      <c r="J125" t="str">
        <f>IFERROR(VLOOKUP(C125,'Registre maintenance'!B:F,5,FALSE),"Non trouvé")</f>
        <v>3G</v>
      </c>
      <c r="K125" t="str">
        <f t="shared" si="11"/>
        <v>OK</v>
      </c>
    </row>
    <row r="126" spans="1:11" x14ac:dyDescent="0.3">
      <c r="A126" t="s">
        <v>839</v>
      </c>
      <c r="B126" s="1">
        <v>45203.059027777781</v>
      </c>
      <c r="C126" t="s">
        <v>846</v>
      </c>
      <c r="D126">
        <v>49</v>
      </c>
      <c r="E126" t="s">
        <v>792</v>
      </c>
      <c r="F126" s="4" t="str">
        <f t="shared" ref="F126:F130" si="20">F125</f>
        <v>Lualaba</v>
      </c>
      <c r="G126" s="4" t="str">
        <f>IFERROR(VLOOKUP(C126,'Registre maintenance'!B:F,2,FALSE),"Non trouvé")</f>
        <v>Non trouvé</v>
      </c>
      <c r="H126" t="str">
        <f>IFERROR(VLOOKUP(C126,'Registre maintenance'!B:F,3,FALSE),"Non trouvé")</f>
        <v>Non trouvé</v>
      </c>
      <c r="I126" t="str">
        <f>IFERROR(VLOOKUP(C126,'Registre maintenance'!B:F,4,FALSE),"Non trouvé")</f>
        <v>Non trouvé</v>
      </c>
      <c r="J126" t="str">
        <f>IFERROR(VLOOKUP(C126,'Registre maintenance'!B:F,5,FALSE),"Non trouvé")</f>
        <v>Non trouvé</v>
      </c>
      <c r="K126" t="str">
        <f t="shared" si="11"/>
        <v>Mismatch</v>
      </c>
    </row>
    <row r="127" spans="1:11" x14ac:dyDescent="0.3">
      <c r="A127" t="s">
        <v>839</v>
      </c>
      <c r="B127" s="1">
        <v>45223.45208333333</v>
      </c>
      <c r="C127" t="s">
        <v>847</v>
      </c>
      <c r="D127">
        <v>117</v>
      </c>
      <c r="E127" t="s">
        <v>797</v>
      </c>
      <c r="F127" s="4" t="str">
        <f t="shared" si="20"/>
        <v>Lualaba</v>
      </c>
      <c r="G127" s="4" t="str">
        <f>IFERROR(VLOOKUP(C127,'Registre maintenance'!B:F,2,FALSE),"Non trouvé")</f>
        <v>Non trouvé</v>
      </c>
      <c r="H127" t="str">
        <f>IFERROR(VLOOKUP(C127,'Registre maintenance'!B:F,3,FALSE),"Non trouvé")</f>
        <v>Non trouvé</v>
      </c>
      <c r="I127" t="str">
        <f>IFERROR(VLOOKUP(C127,'Registre maintenance'!B:F,4,FALSE),"Non trouvé")</f>
        <v>Non trouvé</v>
      </c>
      <c r="J127" t="str">
        <f>IFERROR(VLOOKUP(C127,'Registre maintenance'!B:F,5,FALSE),"Non trouvé")</f>
        <v>Non trouvé</v>
      </c>
      <c r="K127" t="str">
        <f t="shared" si="11"/>
        <v>Mismatch</v>
      </c>
    </row>
    <row r="128" spans="1:11" x14ac:dyDescent="0.3">
      <c r="A128" t="s">
        <v>1084</v>
      </c>
      <c r="B128" s="1">
        <v>45211.382638888892</v>
      </c>
      <c r="C128" t="s">
        <v>847</v>
      </c>
      <c r="D128">
        <v>105</v>
      </c>
      <c r="E128" t="s">
        <v>792</v>
      </c>
      <c r="F128" s="4" t="str">
        <f t="shared" si="20"/>
        <v>Lualaba</v>
      </c>
      <c r="G128" s="4" t="str">
        <f>IFERROR(VLOOKUP(C128,'Registre maintenance'!B:F,2,FALSE),"Non trouvé")</f>
        <v>Non trouvé</v>
      </c>
      <c r="H128" t="str">
        <f>IFERROR(VLOOKUP(C128,'Registre maintenance'!B:F,3,FALSE),"Non trouvé")</f>
        <v>Non trouvé</v>
      </c>
      <c r="I128" t="str">
        <f>IFERROR(VLOOKUP(C128,'Registre maintenance'!B:F,4,FALSE),"Non trouvé")</f>
        <v>Non trouvé</v>
      </c>
      <c r="J128" t="str">
        <f>IFERROR(VLOOKUP(C128,'Registre maintenance'!B:F,5,FALSE),"Non trouvé")</f>
        <v>Non trouvé</v>
      </c>
      <c r="K128" t="str">
        <f t="shared" si="11"/>
        <v>Mismatch</v>
      </c>
    </row>
    <row r="129" spans="1:11" x14ac:dyDescent="0.3">
      <c r="A129" t="s">
        <v>839</v>
      </c>
      <c r="B129" s="1">
        <v>45227.135416666657</v>
      </c>
      <c r="C129" t="s">
        <v>848</v>
      </c>
      <c r="D129">
        <v>13</v>
      </c>
      <c r="E129" t="s">
        <v>795</v>
      </c>
      <c r="F129" s="4" t="str">
        <f t="shared" si="20"/>
        <v>Lualaba</v>
      </c>
      <c r="G129" s="4" t="str">
        <f>IFERROR(VLOOKUP(C129,'Registre maintenance'!B:F,2,FALSE),"Non trouvé")</f>
        <v>Non trouvé</v>
      </c>
      <c r="H129" t="str">
        <f>IFERROR(VLOOKUP(C129,'Registre maintenance'!B:F,3,FALSE),"Non trouvé")</f>
        <v>Non trouvé</v>
      </c>
      <c r="I129" t="str">
        <f>IFERROR(VLOOKUP(C129,'Registre maintenance'!B:F,4,FALSE),"Non trouvé")</f>
        <v>Non trouvé</v>
      </c>
      <c r="J129" t="str">
        <f>IFERROR(VLOOKUP(C129,'Registre maintenance'!B:F,5,FALSE),"Non trouvé")</f>
        <v>Non trouvé</v>
      </c>
      <c r="K129" t="str">
        <f t="shared" si="11"/>
        <v>Mismatch</v>
      </c>
    </row>
    <row r="130" spans="1:11" x14ac:dyDescent="0.3">
      <c r="A130" t="s">
        <v>962</v>
      </c>
      <c r="B130" s="1">
        <v>45214.113194444442</v>
      </c>
      <c r="C130" t="s">
        <v>848</v>
      </c>
      <c r="D130">
        <v>47</v>
      </c>
      <c r="E130" t="s">
        <v>797</v>
      </c>
      <c r="F130" s="4" t="str">
        <f t="shared" si="20"/>
        <v>Lualaba</v>
      </c>
      <c r="G130" s="4" t="str">
        <f>IFERROR(VLOOKUP(C130,'Registre maintenance'!B:F,2,FALSE),"Non trouvé")</f>
        <v>Non trouvé</v>
      </c>
      <c r="H130" t="str">
        <f>IFERROR(VLOOKUP(C130,'Registre maintenance'!B:F,3,FALSE),"Non trouvé")</f>
        <v>Non trouvé</v>
      </c>
      <c r="I130" t="str">
        <f>IFERROR(VLOOKUP(C130,'Registre maintenance'!B:F,4,FALSE),"Non trouvé")</f>
        <v>Non trouvé</v>
      </c>
      <c r="J130" t="str">
        <f>IFERROR(VLOOKUP(C130,'Registre maintenance'!B:F,5,FALSE),"Non trouvé")</f>
        <v>Non trouvé</v>
      </c>
      <c r="K130" t="str">
        <f t="shared" ref="K130:K193" si="21">IF(F130=G130,"OK","Mismatch")</f>
        <v>Mismatch</v>
      </c>
    </row>
    <row r="131" spans="1:11" x14ac:dyDescent="0.3">
      <c r="A131" t="s">
        <v>883</v>
      </c>
      <c r="B131" s="1">
        <v>45217.175000000003</v>
      </c>
      <c r="C131" t="s">
        <v>903</v>
      </c>
      <c r="D131">
        <v>18</v>
      </c>
      <c r="E131" t="s">
        <v>797</v>
      </c>
      <c r="F131" s="4" t="s">
        <v>20</v>
      </c>
      <c r="G131" s="4" t="str">
        <f>IFERROR(VLOOKUP(C131,'Registre maintenance'!B:F,2,FALSE),"Non trouvé")</f>
        <v>Sud-Kivu</v>
      </c>
      <c r="H131">
        <f>IFERROR(VLOOKUP(C131,'Registre maintenance'!B:F,3,FALSE),"Non trouvé")</f>
        <v>-9.4702129999999993</v>
      </c>
      <c r="I131">
        <f>IFERROR(VLOOKUP(C131,'Registre maintenance'!B:F,4,FALSE),"Non trouvé")</f>
        <v>12.826158</v>
      </c>
      <c r="J131" t="str">
        <f>IFERROR(VLOOKUP(C131,'Registre maintenance'!B:F,5,FALSE),"Non trouvé")</f>
        <v>3G</v>
      </c>
      <c r="K131" t="str">
        <f t="shared" si="21"/>
        <v>OK</v>
      </c>
    </row>
    <row r="132" spans="1:11" x14ac:dyDescent="0.3">
      <c r="A132" t="s">
        <v>1084</v>
      </c>
      <c r="B132" s="1">
        <v>45230.997916666667</v>
      </c>
      <c r="C132" t="s">
        <v>1089</v>
      </c>
      <c r="D132">
        <v>72</v>
      </c>
      <c r="E132" t="s">
        <v>797</v>
      </c>
      <c r="F132" s="4" t="s">
        <v>9</v>
      </c>
      <c r="G132" s="4" t="str">
        <f>IFERROR(VLOOKUP(C132,'Registre maintenance'!B:F,2,FALSE),"Non trouvé")</f>
        <v>Ituri</v>
      </c>
      <c r="H132">
        <f>IFERROR(VLOOKUP(C132,'Registre maintenance'!B:F,3,FALSE),"Non trouvé")</f>
        <v>-1.9120569999999999</v>
      </c>
      <c r="I132">
        <f>IFERROR(VLOOKUP(C132,'Registre maintenance'!B:F,4,FALSE),"Non trouvé")</f>
        <v>15.236072999999999</v>
      </c>
      <c r="J132" t="str">
        <f>IFERROR(VLOOKUP(C132,'Registre maintenance'!B:F,5,FALSE),"Non trouvé")</f>
        <v>5G</v>
      </c>
      <c r="K132" t="str">
        <f t="shared" si="21"/>
        <v>OK</v>
      </c>
    </row>
    <row r="133" spans="1:11" x14ac:dyDescent="0.3">
      <c r="A133" t="s">
        <v>883</v>
      </c>
      <c r="B133" s="1">
        <v>45206.167361111111</v>
      </c>
      <c r="C133" t="s">
        <v>918</v>
      </c>
      <c r="D133">
        <v>64</v>
      </c>
      <c r="E133" t="s">
        <v>795</v>
      </c>
      <c r="F133" s="4" t="s">
        <v>9</v>
      </c>
      <c r="G133" s="4" t="str">
        <f>IFERROR(VLOOKUP(C133,'Registre maintenance'!B:F,2,FALSE),"Non trouvé")</f>
        <v>Ituri</v>
      </c>
      <c r="H133">
        <f>IFERROR(VLOOKUP(C133,'Registre maintenance'!B:F,3,FALSE),"Non trouvé")</f>
        <v>0.24202000000000001</v>
      </c>
      <c r="I133">
        <f>IFERROR(VLOOKUP(C133,'Registre maintenance'!B:F,4,FALSE),"Non trouvé")</f>
        <v>17.396256999999999</v>
      </c>
      <c r="J133" t="str">
        <f>IFERROR(VLOOKUP(C133,'Registre maintenance'!B:F,5,FALSE),"Non trouvé")</f>
        <v>4G</v>
      </c>
      <c r="K133" t="str">
        <f t="shared" si="21"/>
        <v>OK</v>
      </c>
    </row>
    <row r="134" spans="1:11" x14ac:dyDescent="0.3">
      <c r="A134" t="s">
        <v>921</v>
      </c>
      <c r="B134" s="1">
        <v>45204.59097222222</v>
      </c>
      <c r="C134" t="s">
        <v>929</v>
      </c>
      <c r="D134">
        <v>108</v>
      </c>
      <c r="E134" t="s">
        <v>795</v>
      </c>
      <c r="F134" s="4" t="s">
        <v>50</v>
      </c>
      <c r="G134" s="4" t="str">
        <f>IFERROR(VLOOKUP(C134,'Registre maintenance'!B:F,2,FALSE),"Non trouvé")</f>
        <v>Kwilu</v>
      </c>
      <c r="H134">
        <f>IFERROR(VLOOKUP(C134,'Registre maintenance'!B:F,3,FALSE),"Non trouvé")</f>
        <v>-8.5675749999999997</v>
      </c>
      <c r="I134">
        <f>IFERROR(VLOOKUP(C134,'Registre maintenance'!B:F,4,FALSE),"Non trouvé")</f>
        <v>26.994581</v>
      </c>
      <c r="J134" t="str">
        <f>IFERROR(VLOOKUP(C134,'Registre maintenance'!B:F,5,FALSE),"Non trouvé")</f>
        <v>3G</v>
      </c>
      <c r="K134" t="str">
        <f t="shared" si="21"/>
        <v>OK</v>
      </c>
    </row>
    <row r="135" spans="1:11" x14ac:dyDescent="0.3">
      <c r="A135" t="s">
        <v>839</v>
      </c>
      <c r="B135" s="1">
        <v>45206.273611111108</v>
      </c>
      <c r="C135" t="s">
        <v>849</v>
      </c>
      <c r="D135">
        <v>117</v>
      </c>
      <c r="E135" t="s">
        <v>797</v>
      </c>
      <c r="F135" s="4" t="str">
        <f>F134</f>
        <v>Kwilu</v>
      </c>
      <c r="G135" s="4" t="str">
        <f>IFERROR(VLOOKUP(C135,'Registre maintenance'!B:F,2,FALSE),"Non trouvé")</f>
        <v>Non trouvé</v>
      </c>
      <c r="H135" t="str">
        <f>IFERROR(VLOOKUP(C135,'Registre maintenance'!B:F,3,FALSE),"Non trouvé")</f>
        <v>Non trouvé</v>
      </c>
      <c r="I135" t="str">
        <f>IFERROR(VLOOKUP(C135,'Registre maintenance'!B:F,4,FALSE),"Non trouvé")</f>
        <v>Non trouvé</v>
      </c>
      <c r="J135" t="str">
        <f>IFERROR(VLOOKUP(C135,'Registre maintenance'!B:F,5,FALSE),"Non trouvé")</f>
        <v>Non trouvé</v>
      </c>
      <c r="K135" t="str">
        <f t="shared" si="21"/>
        <v>Mismatch</v>
      </c>
    </row>
    <row r="136" spans="1:11" x14ac:dyDescent="0.3">
      <c r="A136" t="s">
        <v>1084</v>
      </c>
      <c r="B136" s="1">
        <v>45229.670138888891</v>
      </c>
      <c r="C136" t="s">
        <v>1112</v>
      </c>
      <c r="D136">
        <v>41</v>
      </c>
      <c r="E136" t="s">
        <v>797</v>
      </c>
      <c r="F136" s="4" t="s">
        <v>17</v>
      </c>
      <c r="G136" s="4" t="str">
        <f>IFERROR(VLOOKUP(C136,'Registre maintenance'!B:F,2,FALSE),"Non trouvé")</f>
        <v>Haut-Lomami</v>
      </c>
      <c r="H136">
        <f>IFERROR(VLOOKUP(C136,'Registre maintenance'!B:F,3,FALSE),"Non trouvé")</f>
        <v>-7.1785899999999998</v>
      </c>
      <c r="I136">
        <f>IFERROR(VLOOKUP(C136,'Registre maintenance'!B:F,4,FALSE),"Non trouvé")</f>
        <v>24.4404</v>
      </c>
      <c r="J136" t="str">
        <f>IFERROR(VLOOKUP(C136,'Registre maintenance'!B:F,5,FALSE),"Non trouvé")</f>
        <v>4G</v>
      </c>
      <c r="K136" t="str">
        <f t="shared" si="21"/>
        <v>OK</v>
      </c>
    </row>
    <row r="137" spans="1:11" x14ac:dyDescent="0.3">
      <c r="A137" t="s">
        <v>839</v>
      </c>
      <c r="B137" s="1">
        <v>45205.353472222218</v>
      </c>
      <c r="C137" t="s">
        <v>850</v>
      </c>
      <c r="D137">
        <v>52</v>
      </c>
      <c r="E137" t="s">
        <v>795</v>
      </c>
      <c r="F137" s="4" t="s">
        <v>36</v>
      </c>
      <c r="G137" s="4" t="str">
        <f>IFERROR(VLOOKUP(C137,'Registre maintenance'!B:F,2,FALSE),"Non trouvé")</f>
        <v>Tanganyika</v>
      </c>
      <c r="H137">
        <f>IFERROR(VLOOKUP(C137,'Registre maintenance'!B:F,3,FALSE),"Non trouvé")</f>
        <v>3.1362930000000002</v>
      </c>
      <c r="I137">
        <f>IFERROR(VLOOKUP(C137,'Registre maintenance'!B:F,4,FALSE),"Non trouvé")</f>
        <v>16.190878000000001</v>
      </c>
      <c r="J137" t="str">
        <f>IFERROR(VLOOKUP(C137,'Registre maintenance'!B:F,5,FALSE),"Non trouvé")</f>
        <v>3G</v>
      </c>
      <c r="K137" t="str">
        <f t="shared" si="21"/>
        <v>OK</v>
      </c>
    </row>
    <row r="138" spans="1:11" x14ac:dyDescent="0.3">
      <c r="A138" t="s">
        <v>1084</v>
      </c>
      <c r="B138" s="1">
        <v>45230.26458333333</v>
      </c>
      <c r="C138" t="s">
        <v>1114</v>
      </c>
      <c r="D138">
        <v>62</v>
      </c>
      <c r="E138" t="s">
        <v>792</v>
      </c>
      <c r="F138" s="4" t="s">
        <v>15</v>
      </c>
      <c r="G138" s="4" t="str">
        <f>IFERROR(VLOOKUP(C138,'Registre maintenance'!B:F,2,FALSE),"Non trouvé")</f>
        <v>Mongala</v>
      </c>
      <c r="H138">
        <f>IFERROR(VLOOKUP(C138,'Registre maintenance'!B:F,3,FALSE),"Non trouvé")</f>
        <v>3.6344850000000002</v>
      </c>
      <c r="I138">
        <f>IFERROR(VLOOKUP(C138,'Registre maintenance'!B:F,4,FALSE),"Non trouvé")</f>
        <v>12.158348999999999</v>
      </c>
      <c r="J138" t="str">
        <f>IFERROR(VLOOKUP(C138,'Registre maintenance'!B:F,5,FALSE),"Non trouvé")</f>
        <v>5G</v>
      </c>
      <c r="K138" t="str">
        <f t="shared" si="21"/>
        <v>OK</v>
      </c>
    </row>
    <row r="139" spans="1:11" x14ac:dyDescent="0.3">
      <c r="A139" t="s">
        <v>1119</v>
      </c>
      <c r="B139" s="1">
        <v>45222.179166666669</v>
      </c>
      <c r="C139" t="s">
        <v>1125</v>
      </c>
      <c r="D139">
        <v>28</v>
      </c>
      <c r="E139" t="s">
        <v>795</v>
      </c>
      <c r="F139" s="4" t="s">
        <v>63</v>
      </c>
      <c r="G139" s="4" t="str">
        <f>IFERROR(VLOOKUP(C139,'Registre maintenance'!B:F,2,FALSE),"Non trouvé")</f>
        <v>Kinshasa</v>
      </c>
      <c r="H139">
        <f>IFERROR(VLOOKUP(C139,'Registre maintenance'!B:F,3,FALSE),"Non trouvé")</f>
        <v>-0.90854400000000002</v>
      </c>
      <c r="I139">
        <f>IFERROR(VLOOKUP(C139,'Registre maintenance'!B:F,4,FALSE),"Non trouvé")</f>
        <v>17.154896999999998</v>
      </c>
      <c r="J139" t="str">
        <f>IFERROR(VLOOKUP(C139,'Registre maintenance'!B:F,5,FALSE),"Non trouvé")</f>
        <v>3G</v>
      </c>
      <c r="K139" t="str">
        <f t="shared" si="21"/>
        <v>OK</v>
      </c>
    </row>
    <row r="140" spans="1:11" x14ac:dyDescent="0.3">
      <c r="A140" t="s">
        <v>839</v>
      </c>
      <c r="B140" s="1">
        <v>45225.712500000001</v>
      </c>
      <c r="C140" t="s">
        <v>852</v>
      </c>
      <c r="D140">
        <v>25</v>
      </c>
      <c r="E140" t="s">
        <v>792</v>
      </c>
      <c r="F140" s="4" t="str">
        <f t="shared" ref="F140:F141" si="22">F139</f>
        <v>Kinshasa</v>
      </c>
      <c r="G140" s="4" t="str">
        <f>IFERROR(VLOOKUP(C140,'Registre maintenance'!B:F,2,FALSE),"Non trouvé")</f>
        <v>Non trouvé</v>
      </c>
      <c r="H140" t="str">
        <f>IFERROR(VLOOKUP(C140,'Registre maintenance'!B:F,3,FALSE),"Non trouvé")</f>
        <v>Non trouvé</v>
      </c>
      <c r="I140" t="str">
        <f>IFERROR(VLOOKUP(C140,'Registre maintenance'!B:F,4,FALSE),"Non trouvé")</f>
        <v>Non trouvé</v>
      </c>
      <c r="J140" t="str">
        <f>IFERROR(VLOOKUP(C140,'Registre maintenance'!B:F,5,FALSE),"Non trouvé")</f>
        <v>Non trouvé</v>
      </c>
      <c r="K140" t="str">
        <f t="shared" si="21"/>
        <v>Mismatch</v>
      </c>
    </row>
    <row r="141" spans="1:11" x14ac:dyDescent="0.3">
      <c r="A141" t="s">
        <v>883</v>
      </c>
      <c r="B141" s="1">
        <v>45220.436805555553</v>
      </c>
      <c r="C141" t="s">
        <v>852</v>
      </c>
      <c r="D141">
        <v>64</v>
      </c>
      <c r="E141" t="s">
        <v>795</v>
      </c>
      <c r="F141" s="4" t="str">
        <f t="shared" si="22"/>
        <v>Kinshasa</v>
      </c>
      <c r="G141" s="4" t="str">
        <f>IFERROR(VLOOKUP(C141,'Registre maintenance'!B:F,2,FALSE),"Non trouvé")</f>
        <v>Non trouvé</v>
      </c>
      <c r="H141" t="str">
        <f>IFERROR(VLOOKUP(C141,'Registre maintenance'!B:F,3,FALSE),"Non trouvé")</f>
        <v>Non trouvé</v>
      </c>
      <c r="I141" t="str">
        <f>IFERROR(VLOOKUP(C141,'Registre maintenance'!B:F,4,FALSE),"Non trouvé")</f>
        <v>Non trouvé</v>
      </c>
      <c r="J141" t="str">
        <f>IFERROR(VLOOKUP(C141,'Registre maintenance'!B:F,5,FALSE),"Non trouvé")</f>
        <v>Non trouvé</v>
      </c>
      <c r="K141" t="str">
        <f t="shared" si="21"/>
        <v>Mismatch</v>
      </c>
    </row>
    <row r="142" spans="1:11" x14ac:dyDescent="0.3">
      <c r="A142" t="s">
        <v>1084</v>
      </c>
      <c r="B142" s="1">
        <v>45217.89166666667</v>
      </c>
      <c r="C142" t="s">
        <v>1101</v>
      </c>
      <c r="D142">
        <v>108</v>
      </c>
      <c r="E142" t="s">
        <v>797</v>
      </c>
      <c r="F142" s="4" t="s">
        <v>15</v>
      </c>
      <c r="G142" s="4" t="str">
        <f>IFERROR(VLOOKUP(C142,'Registre maintenance'!B:F,2,FALSE),"Non trouvé")</f>
        <v>Mongala</v>
      </c>
      <c r="H142">
        <f>IFERROR(VLOOKUP(C142,'Registre maintenance'!B:F,3,FALSE),"Non trouvé")</f>
        <v>-5.3762689999999997</v>
      </c>
      <c r="I142">
        <f>IFERROR(VLOOKUP(C142,'Registre maintenance'!B:F,4,FALSE),"Non trouvé")</f>
        <v>28.189575999999999</v>
      </c>
      <c r="J142" t="str">
        <f>IFERROR(VLOOKUP(C142,'Registre maintenance'!B:F,5,FALSE),"Non trouvé")</f>
        <v>5G</v>
      </c>
      <c r="K142" t="str">
        <f t="shared" si="21"/>
        <v>OK</v>
      </c>
    </row>
    <row r="143" spans="1:11" x14ac:dyDescent="0.3">
      <c r="A143" t="s">
        <v>839</v>
      </c>
      <c r="B143" s="1">
        <v>45201.856944444437</v>
      </c>
      <c r="C143" t="s">
        <v>853</v>
      </c>
      <c r="D143">
        <v>61</v>
      </c>
      <c r="E143" t="s">
        <v>792</v>
      </c>
      <c r="F143" s="4" t="str">
        <f t="shared" ref="F143:F145" si="23">F142</f>
        <v>Mongala</v>
      </c>
      <c r="G143" s="4" t="str">
        <f>IFERROR(VLOOKUP(C143,'Registre maintenance'!B:F,2,FALSE),"Non trouvé")</f>
        <v>Non trouvé</v>
      </c>
      <c r="H143" t="str">
        <f>IFERROR(VLOOKUP(C143,'Registre maintenance'!B:F,3,FALSE),"Non trouvé")</f>
        <v>Non trouvé</v>
      </c>
      <c r="I143" t="str">
        <f>IFERROR(VLOOKUP(C143,'Registre maintenance'!B:F,4,FALSE),"Non trouvé")</f>
        <v>Non trouvé</v>
      </c>
      <c r="J143" t="str">
        <f>IFERROR(VLOOKUP(C143,'Registre maintenance'!B:F,5,FALSE),"Non trouvé")</f>
        <v>Non trouvé</v>
      </c>
      <c r="K143" t="str">
        <f t="shared" si="21"/>
        <v>Mismatch</v>
      </c>
    </row>
    <row r="144" spans="1:11" x14ac:dyDescent="0.3">
      <c r="A144" t="s">
        <v>839</v>
      </c>
      <c r="B144" s="1">
        <v>45229.298611111109</v>
      </c>
      <c r="C144" t="s">
        <v>854</v>
      </c>
      <c r="D144">
        <v>74</v>
      </c>
      <c r="E144" t="s">
        <v>797</v>
      </c>
      <c r="F144" s="4" t="str">
        <f t="shared" si="23"/>
        <v>Mongala</v>
      </c>
      <c r="G144" s="4" t="str">
        <f>IFERROR(VLOOKUP(C144,'Registre maintenance'!B:F,2,FALSE),"Non trouvé")</f>
        <v>Non trouvé</v>
      </c>
      <c r="H144" t="str">
        <f>IFERROR(VLOOKUP(C144,'Registre maintenance'!B:F,3,FALSE),"Non trouvé")</f>
        <v>Non trouvé</v>
      </c>
      <c r="I144" t="str">
        <f>IFERROR(VLOOKUP(C144,'Registre maintenance'!B:F,4,FALSE),"Non trouvé")</f>
        <v>Non trouvé</v>
      </c>
      <c r="J144" t="str">
        <f>IFERROR(VLOOKUP(C144,'Registre maintenance'!B:F,5,FALSE),"Non trouvé")</f>
        <v>Non trouvé</v>
      </c>
      <c r="K144" t="str">
        <f t="shared" si="21"/>
        <v>Mismatch</v>
      </c>
    </row>
    <row r="145" spans="1:11" x14ac:dyDescent="0.3">
      <c r="A145" t="s">
        <v>1059</v>
      </c>
      <c r="B145" s="1">
        <v>45211.546527777777</v>
      </c>
      <c r="C145" t="s">
        <v>854</v>
      </c>
      <c r="D145">
        <v>115</v>
      </c>
      <c r="E145" t="s">
        <v>792</v>
      </c>
      <c r="F145" s="4" t="str">
        <f t="shared" si="23"/>
        <v>Mongala</v>
      </c>
      <c r="G145" s="4" t="str">
        <f>IFERROR(VLOOKUP(C145,'Registre maintenance'!B:F,2,FALSE),"Non trouvé")</f>
        <v>Non trouvé</v>
      </c>
      <c r="H145" t="str">
        <f>IFERROR(VLOOKUP(C145,'Registre maintenance'!B:F,3,FALSE),"Non trouvé")</f>
        <v>Non trouvé</v>
      </c>
      <c r="I145" t="str">
        <f>IFERROR(VLOOKUP(C145,'Registre maintenance'!B:F,4,FALSE),"Non trouvé")</f>
        <v>Non trouvé</v>
      </c>
      <c r="J145" t="str">
        <f>IFERROR(VLOOKUP(C145,'Registre maintenance'!B:F,5,FALSE),"Non trouvé")</f>
        <v>Non trouvé</v>
      </c>
      <c r="K145" t="str">
        <f t="shared" si="21"/>
        <v>Mismatch</v>
      </c>
    </row>
    <row r="146" spans="1:11" x14ac:dyDescent="0.3">
      <c r="A146" t="s">
        <v>921</v>
      </c>
      <c r="B146" s="1">
        <v>45211.234722222223</v>
      </c>
      <c r="C146" t="s">
        <v>943</v>
      </c>
      <c r="D146">
        <v>62</v>
      </c>
      <c r="E146" t="s">
        <v>797</v>
      </c>
      <c r="F146" s="4" t="s">
        <v>129</v>
      </c>
      <c r="G146" s="4" t="str">
        <f>IFERROR(VLOOKUP(C146,'Registre maintenance'!B:F,2,FALSE),"Non trouvé")</f>
        <v>Nord-Kivu</v>
      </c>
      <c r="H146">
        <f>IFERROR(VLOOKUP(C146,'Registre maintenance'!B:F,3,FALSE),"Non trouvé")</f>
        <v>-2.3102109999999998</v>
      </c>
      <c r="I146">
        <f>IFERROR(VLOOKUP(C146,'Registre maintenance'!B:F,4,FALSE),"Non trouvé")</f>
        <v>12.362488000000001</v>
      </c>
      <c r="J146" t="str">
        <f>IFERROR(VLOOKUP(C146,'Registre maintenance'!B:F,5,FALSE),"Non trouvé")</f>
        <v>5G</v>
      </c>
      <c r="K146" t="str">
        <f t="shared" si="21"/>
        <v>OK</v>
      </c>
    </row>
    <row r="147" spans="1:11" x14ac:dyDescent="0.3">
      <c r="A147" t="s">
        <v>999</v>
      </c>
      <c r="B147" s="1">
        <v>45230.484027777777</v>
      </c>
      <c r="C147" t="s">
        <v>1035</v>
      </c>
      <c r="D147">
        <v>37</v>
      </c>
      <c r="E147" t="s">
        <v>795</v>
      </c>
      <c r="F147" s="4" t="s">
        <v>61</v>
      </c>
      <c r="G147" s="4" t="str">
        <f>IFERROR(VLOOKUP(C147,'Registre maintenance'!B:F,2,FALSE),"Non trouvé")</f>
        <v>Kongo-Central</v>
      </c>
      <c r="H147">
        <f>IFERROR(VLOOKUP(C147,'Registre maintenance'!B:F,3,FALSE),"Non trouvé")</f>
        <v>-12.564277000000001</v>
      </c>
      <c r="I147">
        <f>IFERROR(VLOOKUP(C147,'Registre maintenance'!B:F,4,FALSE),"Non trouvé")</f>
        <v>28.480798</v>
      </c>
      <c r="J147" t="str">
        <f>IFERROR(VLOOKUP(C147,'Registre maintenance'!B:F,5,FALSE),"Non trouvé")</f>
        <v>5G</v>
      </c>
      <c r="K147" t="str">
        <f t="shared" si="21"/>
        <v>OK</v>
      </c>
    </row>
    <row r="148" spans="1:11" x14ac:dyDescent="0.3">
      <c r="A148" t="s">
        <v>839</v>
      </c>
      <c r="B148" s="1">
        <v>45213.645833333343</v>
      </c>
      <c r="C148" t="s">
        <v>855</v>
      </c>
      <c r="D148">
        <v>95</v>
      </c>
      <c r="E148" t="s">
        <v>792</v>
      </c>
      <c r="F148" s="4" t="s">
        <v>23</v>
      </c>
      <c r="G148" s="4" t="str">
        <f>IFERROR(VLOOKUP(C148,'Registre maintenance'!B:F,2,FALSE),"Non trouvé")</f>
        <v>Haut-Katanga</v>
      </c>
      <c r="H148">
        <f>IFERROR(VLOOKUP(C148,'Registre maintenance'!B:F,3,FALSE),"Non trouvé")</f>
        <v>-2.9417719999999998</v>
      </c>
      <c r="I148">
        <f>IFERROR(VLOOKUP(C148,'Registre maintenance'!B:F,4,FALSE),"Non trouvé")</f>
        <v>18.587305000000001</v>
      </c>
      <c r="J148" t="str">
        <f>IFERROR(VLOOKUP(C148,'Registre maintenance'!B:F,5,FALSE),"Non trouvé")</f>
        <v>5G</v>
      </c>
      <c r="K148" t="str">
        <f t="shared" si="21"/>
        <v>OK</v>
      </c>
    </row>
    <row r="149" spans="1:11" x14ac:dyDescent="0.3">
      <c r="A149" t="s">
        <v>839</v>
      </c>
      <c r="B149" s="1">
        <v>45206.539583333331</v>
      </c>
      <c r="C149" t="s">
        <v>856</v>
      </c>
      <c r="D149">
        <v>43</v>
      </c>
      <c r="E149" t="s">
        <v>792</v>
      </c>
      <c r="F149" s="4" t="s">
        <v>39</v>
      </c>
      <c r="G149" s="4" t="str">
        <f>IFERROR(VLOOKUP(C149,'Registre maintenance'!B:F,2,FALSE),"Non trouvé")</f>
        <v>Kwango</v>
      </c>
      <c r="H149">
        <f>IFERROR(VLOOKUP(C149,'Registre maintenance'!B:F,3,FALSE),"Non trouvé")</f>
        <v>-10.963041</v>
      </c>
      <c r="I149">
        <f>IFERROR(VLOOKUP(C149,'Registre maintenance'!B:F,4,FALSE),"Non trouvé")</f>
        <v>12.269857</v>
      </c>
      <c r="J149" t="str">
        <f>IFERROR(VLOOKUP(C149,'Registre maintenance'!B:F,5,FALSE),"Non trouvé")</f>
        <v>4G</v>
      </c>
      <c r="K149" t="str">
        <f t="shared" si="21"/>
        <v>OK</v>
      </c>
    </row>
    <row r="150" spans="1:11" x14ac:dyDescent="0.3">
      <c r="A150" t="s">
        <v>839</v>
      </c>
      <c r="B150" s="1">
        <v>45201.224999999999</v>
      </c>
      <c r="C150" t="s">
        <v>857</v>
      </c>
      <c r="D150">
        <v>83</v>
      </c>
      <c r="E150" t="s">
        <v>795</v>
      </c>
      <c r="F150" s="4" t="s">
        <v>129</v>
      </c>
      <c r="G150" s="4" t="str">
        <f>IFERROR(VLOOKUP(C150,'Registre maintenance'!B:F,2,FALSE),"Non trouvé")</f>
        <v>Nord-Kivu</v>
      </c>
      <c r="H150">
        <f>IFERROR(VLOOKUP(C150,'Registre maintenance'!B:F,3,FALSE),"Non trouvé")</f>
        <v>0.82868600000000003</v>
      </c>
      <c r="I150">
        <f>IFERROR(VLOOKUP(C150,'Registre maintenance'!B:F,4,FALSE),"Non trouvé")</f>
        <v>26.958843999999999</v>
      </c>
      <c r="J150" t="str">
        <f>IFERROR(VLOOKUP(C150,'Registre maintenance'!B:F,5,FALSE),"Non trouvé")</f>
        <v>5G</v>
      </c>
      <c r="K150" t="str">
        <f t="shared" si="21"/>
        <v>OK</v>
      </c>
    </row>
    <row r="151" spans="1:11" x14ac:dyDescent="0.3">
      <c r="A151" t="s">
        <v>883</v>
      </c>
      <c r="B151" s="1">
        <v>45225.776388888888</v>
      </c>
      <c r="C151" t="s">
        <v>857</v>
      </c>
      <c r="D151">
        <v>71</v>
      </c>
      <c r="E151" t="s">
        <v>792</v>
      </c>
      <c r="F151" s="4" t="s">
        <v>129</v>
      </c>
      <c r="G151" s="4" t="str">
        <f>IFERROR(VLOOKUP(C151,'Registre maintenance'!B:F,2,FALSE),"Non trouvé")</f>
        <v>Nord-Kivu</v>
      </c>
      <c r="H151">
        <f>IFERROR(VLOOKUP(C151,'Registre maintenance'!B:F,3,FALSE),"Non trouvé")</f>
        <v>0.82868600000000003</v>
      </c>
      <c r="I151">
        <f>IFERROR(VLOOKUP(C151,'Registre maintenance'!B:F,4,FALSE),"Non trouvé")</f>
        <v>26.958843999999999</v>
      </c>
      <c r="J151" t="str">
        <f>IFERROR(VLOOKUP(C151,'Registre maintenance'!B:F,5,FALSE),"Non trouvé")</f>
        <v>5G</v>
      </c>
      <c r="K151" t="str">
        <f t="shared" si="21"/>
        <v>OK</v>
      </c>
    </row>
    <row r="152" spans="1:11" x14ac:dyDescent="0.3">
      <c r="A152" t="s">
        <v>883</v>
      </c>
      <c r="B152" s="1">
        <v>45209.32708333333</v>
      </c>
      <c r="C152" t="s">
        <v>917</v>
      </c>
      <c r="D152">
        <v>107</v>
      </c>
      <c r="E152" t="s">
        <v>795</v>
      </c>
      <c r="F152" s="4" t="s">
        <v>59</v>
      </c>
      <c r="G152" s="4" t="str">
        <f>IFERROR(VLOOKUP(C152,'Registre maintenance'!B:F,2,FALSE),"Non trouvé")</f>
        <v>Equateur</v>
      </c>
      <c r="H152">
        <f>IFERROR(VLOOKUP(C152,'Registre maintenance'!B:F,3,FALSE),"Non trouvé")</f>
        <v>-5.0402180000000003</v>
      </c>
      <c r="I152">
        <f>IFERROR(VLOOKUP(C152,'Registre maintenance'!B:F,4,FALSE),"Non trouvé")</f>
        <v>13.892471</v>
      </c>
      <c r="J152" t="str">
        <f>IFERROR(VLOOKUP(C152,'Registre maintenance'!B:F,5,FALSE),"Non trouvé")</f>
        <v>3G</v>
      </c>
      <c r="K152" t="str">
        <f t="shared" si="21"/>
        <v>OK</v>
      </c>
    </row>
    <row r="153" spans="1:11" x14ac:dyDescent="0.3">
      <c r="A153" t="s">
        <v>839</v>
      </c>
      <c r="B153" s="1">
        <v>45200.511111111111</v>
      </c>
      <c r="C153" t="s">
        <v>858</v>
      </c>
      <c r="D153">
        <v>108</v>
      </c>
      <c r="E153" t="s">
        <v>797</v>
      </c>
      <c r="F153" s="4" t="str">
        <f t="shared" ref="F153:F155" si="24">F152</f>
        <v>Equateur</v>
      </c>
      <c r="G153" s="4" t="str">
        <f>IFERROR(VLOOKUP(C153,'Registre maintenance'!B:F,2,FALSE),"Non trouvé")</f>
        <v>Non trouvé</v>
      </c>
      <c r="H153" t="str">
        <f>IFERROR(VLOOKUP(C153,'Registre maintenance'!B:F,3,FALSE),"Non trouvé")</f>
        <v>Non trouvé</v>
      </c>
      <c r="I153" t="str">
        <f>IFERROR(VLOOKUP(C153,'Registre maintenance'!B:F,4,FALSE),"Non trouvé")</f>
        <v>Non trouvé</v>
      </c>
      <c r="J153" t="str">
        <f>IFERROR(VLOOKUP(C153,'Registre maintenance'!B:F,5,FALSE),"Non trouvé")</f>
        <v>Non trouvé</v>
      </c>
      <c r="K153" t="str">
        <f t="shared" si="21"/>
        <v>Mismatch</v>
      </c>
    </row>
    <row r="154" spans="1:11" x14ac:dyDescent="0.3">
      <c r="A154" t="s">
        <v>839</v>
      </c>
      <c r="B154" s="1">
        <v>45225.737500000003</v>
      </c>
      <c r="C154" t="s">
        <v>860</v>
      </c>
      <c r="D154">
        <v>6</v>
      </c>
      <c r="E154" t="s">
        <v>795</v>
      </c>
      <c r="F154" s="4" t="str">
        <f t="shared" si="24"/>
        <v>Equateur</v>
      </c>
      <c r="G154" s="4" t="str">
        <f>IFERROR(VLOOKUP(C154,'Registre maintenance'!B:F,2,FALSE),"Non trouvé")</f>
        <v>Non trouvé</v>
      </c>
      <c r="H154" t="str">
        <f>IFERROR(VLOOKUP(C154,'Registre maintenance'!B:F,3,FALSE),"Non trouvé")</f>
        <v>Non trouvé</v>
      </c>
      <c r="I154" t="str">
        <f>IFERROR(VLOOKUP(C154,'Registre maintenance'!B:F,4,FALSE),"Non trouvé")</f>
        <v>Non trouvé</v>
      </c>
      <c r="J154" t="str">
        <f>IFERROR(VLOOKUP(C154,'Registre maintenance'!B:F,5,FALSE),"Non trouvé")</f>
        <v>Non trouvé</v>
      </c>
      <c r="K154" t="str">
        <f t="shared" si="21"/>
        <v>Mismatch</v>
      </c>
    </row>
    <row r="155" spans="1:11" x14ac:dyDescent="0.3">
      <c r="A155" t="s">
        <v>962</v>
      </c>
      <c r="B155" s="1">
        <v>45207.40625</v>
      </c>
      <c r="C155" t="s">
        <v>860</v>
      </c>
      <c r="D155">
        <v>49</v>
      </c>
      <c r="E155" t="s">
        <v>795</v>
      </c>
      <c r="F155" s="4" t="str">
        <f t="shared" si="24"/>
        <v>Equateur</v>
      </c>
      <c r="G155" s="4" t="str">
        <f>IFERROR(VLOOKUP(C155,'Registre maintenance'!B:F,2,FALSE),"Non trouvé")</f>
        <v>Non trouvé</v>
      </c>
      <c r="H155" t="str">
        <f>IFERROR(VLOOKUP(C155,'Registre maintenance'!B:F,3,FALSE),"Non trouvé")</f>
        <v>Non trouvé</v>
      </c>
      <c r="I155" t="str">
        <f>IFERROR(VLOOKUP(C155,'Registre maintenance'!B:F,4,FALSE),"Non trouvé")</f>
        <v>Non trouvé</v>
      </c>
      <c r="J155" t="str">
        <f>IFERROR(VLOOKUP(C155,'Registre maintenance'!B:F,5,FALSE),"Non trouvé")</f>
        <v>Non trouvé</v>
      </c>
      <c r="K155" t="str">
        <f t="shared" si="21"/>
        <v>Mismatch</v>
      </c>
    </row>
    <row r="156" spans="1:11" x14ac:dyDescent="0.3">
      <c r="A156" t="s">
        <v>962</v>
      </c>
      <c r="B156" s="1">
        <v>45216.729861111111</v>
      </c>
      <c r="C156" t="s">
        <v>995</v>
      </c>
      <c r="D156">
        <v>109</v>
      </c>
      <c r="E156" t="s">
        <v>797</v>
      </c>
      <c r="F156" s="4" t="s">
        <v>56</v>
      </c>
      <c r="G156" s="4" t="str">
        <f>IFERROR(VLOOKUP(C156,'Registre maintenance'!B:F,2,FALSE),"Non trouvé")</f>
        <v>Kasai-Oriental</v>
      </c>
      <c r="H156">
        <f>IFERROR(VLOOKUP(C156,'Registre maintenance'!B:F,3,FALSE),"Non trouvé")</f>
        <v>0.639208</v>
      </c>
      <c r="I156">
        <f>IFERROR(VLOOKUP(C156,'Registre maintenance'!B:F,4,FALSE),"Non trouvé")</f>
        <v>20.701739</v>
      </c>
      <c r="J156" t="str">
        <f>IFERROR(VLOOKUP(C156,'Registre maintenance'!B:F,5,FALSE),"Non trouvé")</f>
        <v>4G</v>
      </c>
      <c r="K156" t="str">
        <f t="shared" si="21"/>
        <v>OK</v>
      </c>
    </row>
    <row r="157" spans="1:11" x14ac:dyDescent="0.3">
      <c r="A157" t="s">
        <v>839</v>
      </c>
      <c r="B157" s="1">
        <v>45206.384027777778</v>
      </c>
      <c r="C157" t="s">
        <v>862</v>
      </c>
      <c r="D157">
        <v>109</v>
      </c>
      <c r="E157" t="s">
        <v>797</v>
      </c>
      <c r="F157" s="4" t="str">
        <f t="shared" ref="F157:F158" si="25">F156</f>
        <v>Kasai-Oriental</v>
      </c>
      <c r="G157" s="4" t="str">
        <f>IFERROR(VLOOKUP(C157,'Registre maintenance'!B:F,2,FALSE),"Non trouvé")</f>
        <v>Non trouvé</v>
      </c>
      <c r="H157" t="str">
        <f>IFERROR(VLOOKUP(C157,'Registre maintenance'!B:F,3,FALSE),"Non trouvé")</f>
        <v>Non trouvé</v>
      </c>
      <c r="I157" t="str">
        <f>IFERROR(VLOOKUP(C157,'Registre maintenance'!B:F,4,FALSE),"Non trouvé")</f>
        <v>Non trouvé</v>
      </c>
      <c r="J157" t="str">
        <f>IFERROR(VLOOKUP(C157,'Registre maintenance'!B:F,5,FALSE),"Non trouvé")</f>
        <v>Non trouvé</v>
      </c>
      <c r="K157" t="str">
        <f t="shared" si="21"/>
        <v>Mismatch</v>
      </c>
    </row>
    <row r="158" spans="1:11" x14ac:dyDescent="0.3">
      <c r="A158" t="s">
        <v>839</v>
      </c>
      <c r="B158" s="1">
        <v>45230.067361111112</v>
      </c>
      <c r="C158" t="s">
        <v>863</v>
      </c>
      <c r="D158">
        <v>75</v>
      </c>
      <c r="E158" t="s">
        <v>792</v>
      </c>
      <c r="F158" s="4" t="str">
        <f t="shared" si="25"/>
        <v>Kasai-Oriental</v>
      </c>
      <c r="G158" s="4" t="str">
        <f>IFERROR(VLOOKUP(C158,'Registre maintenance'!B:F,2,FALSE),"Non trouvé")</f>
        <v>Non trouvé</v>
      </c>
      <c r="H158" t="str">
        <f>IFERROR(VLOOKUP(C158,'Registre maintenance'!B:F,3,FALSE),"Non trouvé")</f>
        <v>Non trouvé</v>
      </c>
      <c r="I158" t="str">
        <f>IFERROR(VLOOKUP(C158,'Registre maintenance'!B:F,4,FALSE),"Non trouvé")</f>
        <v>Non trouvé</v>
      </c>
      <c r="J158" t="str">
        <f>IFERROR(VLOOKUP(C158,'Registre maintenance'!B:F,5,FALSE),"Non trouvé")</f>
        <v>Non trouvé</v>
      </c>
      <c r="K158" t="str">
        <f t="shared" si="21"/>
        <v>Mismatch</v>
      </c>
    </row>
    <row r="159" spans="1:11" x14ac:dyDescent="0.3">
      <c r="A159" t="s">
        <v>962</v>
      </c>
      <c r="B159" s="1">
        <v>45202.21875</v>
      </c>
      <c r="C159" t="s">
        <v>980</v>
      </c>
      <c r="D159">
        <v>86</v>
      </c>
      <c r="E159" t="s">
        <v>797</v>
      </c>
      <c r="F159" s="4" t="s">
        <v>17</v>
      </c>
      <c r="G159" s="4" t="str">
        <f>IFERROR(VLOOKUP(C159,'Registre maintenance'!B:F,2,FALSE),"Non trouvé")</f>
        <v>Haut-Lomami</v>
      </c>
      <c r="H159">
        <f>IFERROR(VLOOKUP(C159,'Registre maintenance'!B:F,3,FALSE),"Non trouvé")</f>
        <v>-12.112682</v>
      </c>
      <c r="I159">
        <f>IFERROR(VLOOKUP(C159,'Registre maintenance'!B:F,4,FALSE),"Non trouvé")</f>
        <v>19.972052000000001</v>
      </c>
      <c r="J159" t="str">
        <f>IFERROR(VLOOKUP(C159,'Registre maintenance'!B:F,5,FALSE),"Non trouvé")</f>
        <v>4G</v>
      </c>
      <c r="K159" t="str">
        <f t="shared" si="21"/>
        <v>OK</v>
      </c>
    </row>
    <row r="160" spans="1:11" x14ac:dyDescent="0.3">
      <c r="A160" t="s">
        <v>1059</v>
      </c>
      <c r="B160" s="1">
        <v>45210.458333333343</v>
      </c>
      <c r="C160" t="s">
        <v>980</v>
      </c>
      <c r="D160">
        <v>95</v>
      </c>
      <c r="E160" t="s">
        <v>795</v>
      </c>
      <c r="F160" s="4" t="s">
        <v>17</v>
      </c>
      <c r="G160" s="4" t="str">
        <f>IFERROR(VLOOKUP(C160,'Registre maintenance'!B:F,2,FALSE),"Non trouvé")</f>
        <v>Haut-Lomami</v>
      </c>
      <c r="H160">
        <f>IFERROR(VLOOKUP(C160,'Registre maintenance'!B:F,3,FALSE),"Non trouvé")</f>
        <v>-12.112682</v>
      </c>
      <c r="I160">
        <f>IFERROR(VLOOKUP(C160,'Registre maintenance'!B:F,4,FALSE),"Non trouvé")</f>
        <v>19.972052000000001</v>
      </c>
      <c r="J160" t="str">
        <f>IFERROR(VLOOKUP(C160,'Registre maintenance'!B:F,5,FALSE),"Non trouvé")</f>
        <v>4G</v>
      </c>
      <c r="K160" t="str">
        <f t="shared" si="21"/>
        <v>OK</v>
      </c>
    </row>
    <row r="161" spans="1:11" x14ac:dyDescent="0.3">
      <c r="A161" t="s">
        <v>839</v>
      </c>
      <c r="B161" s="1">
        <v>45223.710416666669</v>
      </c>
      <c r="C161" t="s">
        <v>864</v>
      </c>
      <c r="D161">
        <v>43</v>
      </c>
      <c r="E161" t="s">
        <v>795</v>
      </c>
      <c r="F161" s="4" t="str">
        <f t="shared" ref="F161:F166" si="26">F160</f>
        <v>Haut-Lomami</v>
      </c>
      <c r="G161" s="4" t="str">
        <f>IFERROR(VLOOKUP(C161,'Registre maintenance'!B:F,2,FALSE),"Non trouvé")</f>
        <v>Non trouvé</v>
      </c>
      <c r="H161" t="str">
        <f>IFERROR(VLOOKUP(C161,'Registre maintenance'!B:F,3,FALSE),"Non trouvé")</f>
        <v>Non trouvé</v>
      </c>
      <c r="I161" t="str">
        <f>IFERROR(VLOOKUP(C161,'Registre maintenance'!B:F,4,FALSE),"Non trouvé")</f>
        <v>Non trouvé</v>
      </c>
      <c r="J161" t="str">
        <f>IFERROR(VLOOKUP(C161,'Registre maintenance'!B:F,5,FALSE),"Non trouvé")</f>
        <v>Non trouvé</v>
      </c>
      <c r="K161" t="str">
        <f t="shared" si="21"/>
        <v>Mismatch</v>
      </c>
    </row>
    <row r="162" spans="1:11" x14ac:dyDescent="0.3">
      <c r="A162" t="s">
        <v>839</v>
      </c>
      <c r="B162" s="1">
        <v>45223.418749999997</v>
      </c>
      <c r="C162" t="s">
        <v>865</v>
      </c>
      <c r="D162">
        <v>89</v>
      </c>
      <c r="E162" t="s">
        <v>792</v>
      </c>
      <c r="F162" s="4" t="str">
        <f t="shared" si="26"/>
        <v>Haut-Lomami</v>
      </c>
      <c r="G162" s="4" t="str">
        <f>IFERROR(VLOOKUP(C162,'Registre maintenance'!B:F,2,FALSE),"Non trouvé")</f>
        <v>Non trouvé</v>
      </c>
      <c r="H162" t="str">
        <f>IFERROR(VLOOKUP(C162,'Registre maintenance'!B:F,3,FALSE),"Non trouvé")</f>
        <v>Non trouvé</v>
      </c>
      <c r="I162" t="str">
        <f>IFERROR(VLOOKUP(C162,'Registre maintenance'!B:F,4,FALSE),"Non trouvé")</f>
        <v>Non trouvé</v>
      </c>
      <c r="J162" t="str">
        <f>IFERROR(VLOOKUP(C162,'Registre maintenance'!B:F,5,FALSE),"Non trouvé")</f>
        <v>Non trouvé</v>
      </c>
      <c r="K162" t="str">
        <f t="shared" si="21"/>
        <v>Mismatch</v>
      </c>
    </row>
    <row r="163" spans="1:11" x14ac:dyDescent="0.3">
      <c r="A163" t="s">
        <v>839</v>
      </c>
      <c r="B163" s="1">
        <v>45201.670138888891</v>
      </c>
      <c r="C163" t="s">
        <v>867</v>
      </c>
      <c r="D163">
        <v>22</v>
      </c>
      <c r="E163" t="s">
        <v>797</v>
      </c>
      <c r="F163" s="4" t="str">
        <f t="shared" si="26"/>
        <v>Haut-Lomami</v>
      </c>
      <c r="G163" s="4" t="str">
        <f>IFERROR(VLOOKUP(C163,'Registre maintenance'!B:F,2,FALSE),"Non trouvé")</f>
        <v>Non trouvé</v>
      </c>
      <c r="H163" t="str">
        <f>IFERROR(VLOOKUP(C163,'Registre maintenance'!B:F,3,FALSE),"Non trouvé")</f>
        <v>Non trouvé</v>
      </c>
      <c r="I163" t="str">
        <f>IFERROR(VLOOKUP(C163,'Registre maintenance'!B:F,4,FALSE),"Non trouvé")</f>
        <v>Non trouvé</v>
      </c>
      <c r="J163" t="str">
        <f>IFERROR(VLOOKUP(C163,'Registre maintenance'!B:F,5,FALSE),"Non trouvé")</f>
        <v>Non trouvé</v>
      </c>
      <c r="K163" t="str">
        <f t="shared" si="21"/>
        <v>Mismatch</v>
      </c>
    </row>
    <row r="164" spans="1:11" x14ac:dyDescent="0.3">
      <c r="A164" t="s">
        <v>839</v>
      </c>
      <c r="B164" s="1">
        <v>45227.211111111108</v>
      </c>
      <c r="C164" t="s">
        <v>868</v>
      </c>
      <c r="D164">
        <v>38</v>
      </c>
      <c r="E164" t="s">
        <v>792</v>
      </c>
      <c r="F164" s="4" t="str">
        <f t="shared" si="26"/>
        <v>Haut-Lomami</v>
      </c>
      <c r="G164" s="4" t="str">
        <f>IFERROR(VLOOKUP(C164,'Registre maintenance'!B:F,2,FALSE),"Non trouvé")</f>
        <v>Non trouvé</v>
      </c>
      <c r="H164" t="str">
        <f>IFERROR(VLOOKUP(C164,'Registre maintenance'!B:F,3,FALSE),"Non trouvé")</f>
        <v>Non trouvé</v>
      </c>
      <c r="I164" t="str">
        <f>IFERROR(VLOOKUP(C164,'Registre maintenance'!B:F,4,FALSE),"Non trouvé")</f>
        <v>Non trouvé</v>
      </c>
      <c r="J164" t="str">
        <f>IFERROR(VLOOKUP(C164,'Registre maintenance'!B:F,5,FALSE),"Non trouvé")</f>
        <v>Non trouvé</v>
      </c>
      <c r="K164" t="str">
        <f t="shared" si="21"/>
        <v>Mismatch</v>
      </c>
    </row>
    <row r="165" spans="1:11" x14ac:dyDescent="0.3">
      <c r="A165" t="s">
        <v>839</v>
      </c>
      <c r="B165" s="1">
        <v>45219.113194444442</v>
      </c>
      <c r="C165" t="s">
        <v>869</v>
      </c>
      <c r="D165">
        <v>19</v>
      </c>
      <c r="E165" t="s">
        <v>792</v>
      </c>
      <c r="F165" s="4" t="str">
        <f t="shared" si="26"/>
        <v>Haut-Lomami</v>
      </c>
      <c r="G165" s="4" t="str">
        <f>IFERROR(VLOOKUP(C165,'Registre maintenance'!B:F,2,FALSE),"Non trouvé")</f>
        <v>Non trouvé</v>
      </c>
      <c r="H165" t="str">
        <f>IFERROR(VLOOKUP(C165,'Registre maintenance'!B:F,3,FALSE),"Non trouvé")</f>
        <v>Non trouvé</v>
      </c>
      <c r="I165" t="str">
        <f>IFERROR(VLOOKUP(C165,'Registre maintenance'!B:F,4,FALSE),"Non trouvé")</f>
        <v>Non trouvé</v>
      </c>
      <c r="J165" t="str">
        <f>IFERROR(VLOOKUP(C165,'Registre maintenance'!B:F,5,FALSE),"Non trouvé")</f>
        <v>Non trouvé</v>
      </c>
      <c r="K165" t="str">
        <f t="shared" si="21"/>
        <v>Mismatch</v>
      </c>
    </row>
    <row r="166" spans="1:11" x14ac:dyDescent="0.3">
      <c r="A166" t="s">
        <v>921</v>
      </c>
      <c r="B166" s="1">
        <v>45224.010416666657</v>
      </c>
      <c r="C166" t="s">
        <v>869</v>
      </c>
      <c r="D166">
        <v>114</v>
      </c>
      <c r="E166" t="s">
        <v>797</v>
      </c>
      <c r="F166" s="4" t="str">
        <f t="shared" si="26"/>
        <v>Haut-Lomami</v>
      </c>
      <c r="G166" s="4" t="str">
        <f>IFERROR(VLOOKUP(C166,'Registre maintenance'!B:F,2,FALSE),"Non trouvé")</f>
        <v>Non trouvé</v>
      </c>
      <c r="H166" t="str">
        <f>IFERROR(VLOOKUP(C166,'Registre maintenance'!B:F,3,FALSE),"Non trouvé")</f>
        <v>Non trouvé</v>
      </c>
      <c r="I166" t="str">
        <f>IFERROR(VLOOKUP(C166,'Registre maintenance'!B:F,4,FALSE),"Non trouvé")</f>
        <v>Non trouvé</v>
      </c>
      <c r="J166" t="str">
        <f>IFERROR(VLOOKUP(C166,'Registre maintenance'!B:F,5,FALSE),"Non trouvé")</f>
        <v>Non trouvé</v>
      </c>
      <c r="K166" t="str">
        <f t="shared" si="21"/>
        <v>Mismatch</v>
      </c>
    </row>
    <row r="167" spans="1:11" x14ac:dyDescent="0.3">
      <c r="A167" t="s">
        <v>921</v>
      </c>
      <c r="B167" s="1">
        <v>45228.614583333343</v>
      </c>
      <c r="C167" t="s">
        <v>961</v>
      </c>
      <c r="D167">
        <v>48</v>
      </c>
      <c r="E167" t="s">
        <v>795</v>
      </c>
      <c r="F167" s="4" t="s">
        <v>25</v>
      </c>
      <c r="G167" s="4" t="str">
        <f>IFERROR(VLOOKUP(C167,'Registre maintenance'!B:F,2,FALSE),"Non trouvé")</f>
        <v>Bas-Uele</v>
      </c>
      <c r="H167">
        <f>IFERROR(VLOOKUP(C167,'Registre maintenance'!B:F,3,FALSE),"Non trouvé")</f>
        <v>-3.6945459999999999</v>
      </c>
      <c r="I167">
        <f>IFERROR(VLOOKUP(C167,'Registre maintenance'!B:F,4,FALSE),"Non trouvé")</f>
        <v>16.809108999999999</v>
      </c>
      <c r="J167" t="str">
        <f>IFERROR(VLOOKUP(C167,'Registre maintenance'!B:F,5,FALSE),"Non trouvé")</f>
        <v>5G</v>
      </c>
      <c r="K167" t="str">
        <f t="shared" si="21"/>
        <v>OK</v>
      </c>
    </row>
    <row r="168" spans="1:11" x14ac:dyDescent="0.3">
      <c r="A168" t="s">
        <v>839</v>
      </c>
      <c r="B168" s="1">
        <v>45227.309027777781</v>
      </c>
      <c r="C168" t="s">
        <v>870</v>
      </c>
      <c r="D168">
        <v>118</v>
      </c>
      <c r="E168" t="s">
        <v>797</v>
      </c>
      <c r="F168" s="4" t="s">
        <v>30</v>
      </c>
      <c r="G168" s="4" t="str">
        <f>IFERROR(VLOOKUP(C168,'Registre maintenance'!B:F,2,FALSE),"Non trouvé")</f>
        <v>Sud-Ubangi</v>
      </c>
      <c r="H168">
        <f>IFERROR(VLOOKUP(C168,'Registre maintenance'!B:F,3,FALSE),"Non trouvé")</f>
        <v>-10.914952</v>
      </c>
      <c r="I168">
        <f>IFERROR(VLOOKUP(C168,'Registre maintenance'!B:F,4,FALSE),"Non trouvé")</f>
        <v>26.409648000000001</v>
      </c>
      <c r="J168" t="str">
        <f>IFERROR(VLOOKUP(C168,'Registre maintenance'!B:F,5,FALSE),"Non trouvé")</f>
        <v>4G</v>
      </c>
      <c r="K168" t="str">
        <f t="shared" si="21"/>
        <v>OK</v>
      </c>
    </row>
    <row r="169" spans="1:11" x14ac:dyDescent="0.3">
      <c r="A169" t="s">
        <v>999</v>
      </c>
      <c r="B169" s="1">
        <v>45216.76458333333</v>
      </c>
      <c r="C169" t="s">
        <v>870</v>
      </c>
      <c r="D169">
        <v>53</v>
      </c>
      <c r="E169" t="s">
        <v>795</v>
      </c>
      <c r="F169" s="4" t="s">
        <v>30</v>
      </c>
      <c r="G169" s="4" t="str">
        <f>IFERROR(VLOOKUP(C169,'Registre maintenance'!B:F,2,FALSE),"Non trouvé")</f>
        <v>Sud-Ubangi</v>
      </c>
      <c r="H169">
        <f>IFERROR(VLOOKUP(C169,'Registre maintenance'!B:F,3,FALSE),"Non trouvé")</f>
        <v>-10.914952</v>
      </c>
      <c r="I169">
        <f>IFERROR(VLOOKUP(C169,'Registre maintenance'!B:F,4,FALSE),"Non trouvé")</f>
        <v>26.409648000000001</v>
      </c>
      <c r="J169" t="str">
        <f>IFERROR(VLOOKUP(C169,'Registre maintenance'!B:F,5,FALSE),"Non trouvé")</f>
        <v>4G</v>
      </c>
      <c r="K169" t="str">
        <f t="shared" si="21"/>
        <v>OK</v>
      </c>
    </row>
    <row r="170" spans="1:11" x14ac:dyDescent="0.3">
      <c r="A170" t="s">
        <v>1084</v>
      </c>
      <c r="B170" s="1">
        <v>45214.774305555547</v>
      </c>
      <c r="C170" t="s">
        <v>870</v>
      </c>
      <c r="D170">
        <v>118</v>
      </c>
      <c r="E170" t="s">
        <v>792</v>
      </c>
      <c r="F170" s="4" t="s">
        <v>30</v>
      </c>
      <c r="G170" s="4" t="str">
        <f>IFERROR(VLOOKUP(C170,'Registre maintenance'!B:F,2,FALSE),"Non trouvé")</f>
        <v>Sud-Ubangi</v>
      </c>
      <c r="H170">
        <f>IFERROR(VLOOKUP(C170,'Registre maintenance'!B:F,3,FALSE),"Non trouvé")</f>
        <v>-10.914952</v>
      </c>
      <c r="I170">
        <f>IFERROR(VLOOKUP(C170,'Registre maintenance'!B:F,4,FALSE),"Non trouvé")</f>
        <v>26.409648000000001</v>
      </c>
      <c r="J170" t="str">
        <f>IFERROR(VLOOKUP(C170,'Registre maintenance'!B:F,5,FALSE),"Non trouvé")</f>
        <v>4G</v>
      </c>
      <c r="K170" t="str">
        <f t="shared" si="21"/>
        <v>OK</v>
      </c>
    </row>
    <row r="171" spans="1:11" x14ac:dyDescent="0.3">
      <c r="A171" t="s">
        <v>921</v>
      </c>
      <c r="B171" s="1">
        <v>45224.552777777782</v>
      </c>
      <c r="C171" t="s">
        <v>934</v>
      </c>
      <c r="D171">
        <v>60</v>
      </c>
      <c r="E171" t="s">
        <v>795</v>
      </c>
      <c r="F171" s="4" t="s">
        <v>36</v>
      </c>
      <c r="G171" s="4" t="str">
        <f>IFERROR(VLOOKUP(C171,'Registre maintenance'!B:F,2,FALSE),"Non trouvé")</f>
        <v>Tanganyika</v>
      </c>
      <c r="H171">
        <f>IFERROR(VLOOKUP(C171,'Registre maintenance'!B:F,3,FALSE),"Non trouvé")</f>
        <v>-10.439686999999999</v>
      </c>
      <c r="I171">
        <f>IFERROR(VLOOKUP(C171,'Registre maintenance'!B:F,4,FALSE),"Non trouvé")</f>
        <v>20.714210000000001</v>
      </c>
      <c r="J171" t="str">
        <f>IFERROR(VLOOKUP(C171,'Registre maintenance'!B:F,5,FALSE),"Non trouvé")</f>
        <v>4G</v>
      </c>
      <c r="K171" t="str">
        <f t="shared" si="21"/>
        <v>OK</v>
      </c>
    </row>
    <row r="172" spans="1:11" x14ac:dyDescent="0.3">
      <c r="A172" t="s">
        <v>1059</v>
      </c>
      <c r="B172" s="1">
        <v>45204.986111111109</v>
      </c>
      <c r="C172" t="s">
        <v>1072</v>
      </c>
      <c r="D172">
        <v>76</v>
      </c>
      <c r="E172" t="s">
        <v>795</v>
      </c>
      <c r="F172" s="4" t="s">
        <v>125</v>
      </c>
      <c r="G172" s="4" t="str">
        <f>IFERROR(VLOOKUP(C172,'Registre maintenance'!B:F,2,FALSE),"Non trouvé")</f>
        <v>Haut-Uele</v>
      </c>
      <c r="H172">
        <f>IFERROR(VLOOKUP(C172,'Registre maintenance'!B:F,3,FALSE),"Non trouvé")</f>
        <v>-4.869434</v>
      </c>
      <c r="I172">
        <f>IFERROR(VLOOKUP(C172,'Registre maintenance'!B:F,4,FALSE),"Non trouvé")</f>
        <v>22.326522000000001</v>
      </c>
      <c r="J172" t="str">
        <f>IFERROR(VLOOKUP(C172,'Registre maintenance'!B:F,5,FALSE),"Non trouvé")</f>
        <v>5G</v>
      </c>
      <c r="K172" t="str">
        <f t="shared" si="21"/>
        <v>OK</v>
      </c>
    </row>
    <row r="173" spans="1:11" x14ac:dyDescent="0.3">
      <c r="A173" t="s">
        <v>839</v>
      </c>
      <c r="B173" s="1">
        <v>45218.793055555558</v>
      </c>
      <c r="C173" t="s">
        <v>872</v>
      </c>
      <c r="D173">
        <v>100</v>
      </c>
      <c r="E173" t="s">
        <v>797</v>
      </c>
      <c r="F173" s="4" t="str">
        <f>F172</f>
        <v>Haut-Uele</v>
      </c>
      <c r="G173" s="4" t="str">
        <f>IFERROR(VLOOKUP(C173,'Registre maintenance'!B:F,2,FALSE),"Non trouvé")</f>
        <v>Non trouvé</v>
      </c>
      <c r="H173" t="str">
        <f>IFERROR(VLOOKUP(C173,'Registre maintenance'!B:F,3,FALSE),"Non trouvé")</f>
        <v>Non trouvé</v>
      </c>
      <c r="I173" t="str">
        <f>IFERROR(VLOOKUP(C173,'Registre maintenance'!B:F,4,FALSE),"Non trouvé")</f>
        <v>Non trouvé</v>
      </c>
      <c r="J173" t="str">
        <f>IFERROR(VLOOKUP(C173,'Registre maintenance'!B:F,5,FALSE),"Non trouvé")</f>
        <v>Non trouvé</v>
      </c>
      <c r="K173" t="str">
        <f t="shared" si="21"/>
        <v>Mismatch</v>
      </c>
    </row>
    <row r="174" spans="1:11" x14ac:dyDescent="0.3">
      <c r="A174" t="s">
        <v>839</v>
      </c>
      <c r="B174" s="1">
        <v>45219.101388888892</v>
      </c>
      <c r="C174" t="s">
        <v>873</v>
      </c>
      <c r="D174">
        <v>75</v>
      </c>
      <c r="E174" t="s">
        <v>792</v>
      </c>
      <c r="F174" s="4" t="s">
        <v>9</v>
      </c>
      <c r="G174" s="4" t="str">
        <f>IFERROR(VLOOKUP(C174,'Registre maintenance'!B:F,2,FALSE),"Non trouvé")</f>
        <v>Ituri</v>
      </c>
      <c r="H174">
        <f>IFERROR(VLOOKUP(C174,'Registre maintenance'!B:F,3,FALSE),"Non trouvé")</f>
        <v>-7.0076900000000002</v>
      </c>
      <c r="I174">
        <f>IFERROR(VLOOKUP(C174,'Registre maintenance'!B:F,4,FALSE),"Non trouvé")</f>
        <v>27.367121999999998</v>
      </c>
      <c r="J174" t="str">
        <f>IFERROR(VLOOKUP(C174,'Registre maintenance'!B:F,5,FALSE),"Non trouvé")</f>
        <v>3G</v>
      </c>
      <c r="K174" t="str">
        <f t="shared" si="21"/>
        <v>OK</v>
      </c>
    </row>
    <row r="175" spans="1:11" x14ac:dyDescent="0.3">
      <c r="A175" t="s">
        <v>883</v>
      </c>
      <c r="B175" s="1">
        <v>45208.072916666657</v>
      </c>
      <c r="C175" t="s">
        <v>892</v>
      </c>
      <c r="D175">
        <v>68</v>
      </c>
      <c r="E175" t="s">
        <v>792</v>
      </c>
      <c r="F175" s="4" t="s">
        <v>129</v>
      </c>
      <c r="G175" s="4" t="str">
        <f>IFERROR(VLOOKUP(C175,'Registre maintenance'!B:F,2,FALSE),"Non trouvé")</f>
        <v>Nord-Kivu</v>
      </c>
      <c r="H175">
        <f>IFERROR(VLOOKUP(C175,'Registre maintenance'!B:F,3,FALSE),"Non trouvé")</f>
        <v>1.017161</v>
      </c>
      <c r="I175">
        <f>IFERROR(VLOOKUP(C175,'Registre maintenance'!B:F,4,FALSE),"Non trouvé")</f>
        <v>16.519689</v>
      </c>
      <c r="J175" t="str">
        <f>IFERROR(VLOOKUP(C175,'Registre maintenance'!B:F,5,FALSE),"Non trouvé")</f>
        <v>3G</v>
      </c>
      <c r="K175" t="str">
        <f t="shared" si="21"/>
        <v>OK</v>
      </c>
    </row>
    <row r="176" spans="1:11" x14ac:dyDescent="0.3">
      <c r="A176" t="s">
        <v>839</v>
      </c>
      <c r="B176" s="1">
        <v>45208.279166666667</v>
      </c>
      <c r="C176" t="s">
        <v>876</v>
      </c>
      <c r="D176">
        <v>41</v>
      </c>
      <c r="E176" t="s">
        <v>795</v>
      </c>
      <c r="F176" s="4" t="s">
        <v>87</v>
      </c>
      <c r="G176" s="4" t="str">
        <f>IFERROR(VLOOKUP(C176,'Registre maintenance'!B:F,2,FALSE),"Non trouvé")</f>
        <v>Nord-Ubangi</v>
      </c>
      <c r="H176">
        <f>IFERROR(VLOOKUP(C176,'Registre maintenance'!B:F,3,FALSE),"Non trouvé")</f>
        <v>-9.3066320000000005</v>
      </c>
      <c r="I176">
        <f>IFERROR(VLOOKUP(C176,'Registre maintenance'!B:F,4,FALSE),"Non trouvé")</f>
        <v>20.470889</v>
      </c>
      <c r="J176" t="str">
        <f>IFERROR(VLOOKUP(C176,'Registre maintenance'!B:F,5,FALSE),"Non trouvé")</f>
        <v>5G</v>
      </c>
      <c r="K176" t="str">
        <f t="shared" si="21"/>
        <v>OK</v>
      </c>
    </row>
    <row r="177" spans="1:11" x14ac:dyDescent="0.3">
      <c r="A177" t="s">
        <v>839</v>
      </c>
      <c r="B177" s="1">
        <v>45222.427083333343</v>
      </c>
      <c r="C177" t="s">
        <v>877</v>
      </c>
      <c r="D177">
        <v>82</v>
      </c>
      <c r="E177" t="s">
        <v>792</v>
      </c>
      <c r="F177" s="4" t="s">
        <v>25</v>
      </c>
      <c r="G177" s="4" t="str">
        <f>IFERROR(VLOOKUP(C177,'Registre maintenance'!B:F,2,FALSE),"Non trouvé")</f>
        <v>Bas-Uele</v>
      </c>
      <c r="H177">
        <f>IFERROR(VLOOKUP(C177,'Registre maintenance'!B:F,3,FALSE),"Non trouvé")</f>
        <v>-4.4697000000000001E-2</v>
      </c>
      <c r="I177">
        <f>IFERROR(VLOOKUP(C177,'Registre maintenance'!B:F,4,FALSE),"Non trouvé")</f>
        <v>22.943373000000001</v>
      </c>
      <c r="J177" t="str">
        <f>IFERROR(VLOOKUP(C177,'Registre maintenance'!B:F,5,FALSE),"Non trouvé")</f>
        <v>3G</v>
      </c>
      <c r="K177" t="str">
        <f t="shared" si="21"/>
        <v>OK</v>
      </c>
    </row>
    <row r="178" spans="1:11" x14ac:dyDescent="0.3">
      <c r="A178" t="s">
        <v>839</v>
      </c>
      <c r="B178" s="1">
        <v>45208.505555555559</v>
      </c>
      <c r="C178" t="s">
        <v>878</v>
      </c>
      <c r="D178">
        <v>31</v>
      </c>
      <c r="E178" t="s">
        <v>797</v>
      </c>
      <c r="F178" s="4" t="str">
        <f t="shared" ref="F178:F179" si="27">F177</f>
        <v>Bas-Uele</v>
      </c>
      <c r="G178" s="4" t="str">
        <f>IFERROR(VLOOKUP(C178,'Registre maintenance'!B:F,2,FALSE),"Non trouvé")</f>
        <v>Non trouvé</v>
      </c>
      <c r="H178" t="str">
        <f>IFERROR(VLOOKUP(C178,'Registre maintenance'!B:F,3,FALSE),"Non trouvé")</f>
        <v>Non trouvé</v>
      </c>
      <c r="I178" t="str">
        <f>IFERROR(VLOOKUP(C178,'Registre maintenance'!B:F,4,FALSE),"Non trouvé")</f>
        <v>Non trouvé</v>
      </c>
      <c r="J178" t="str">
        <f>IFERROR(VLOOKUP(C178,'Registre maintenance'!B:F,5,FALSE),"Non trouvé")</f>
        <v>Non trouvé</v>
      </c>
      <c r="K178" t="str">
        <f t="shared" si="21"/>
        <v>Mismatch</v>
      </c>
    </row>
    <row r="179" spans="1:11" x14ac:dyDescent="0.3">
      <c r="A179" t="s">
        <v>1038</v>
      </c>
      <c r="B179" s="1">
        <v>45227.462500000001</v>
      </c>
      <c r="C179" t="s">
        <v>878</v>
      </c>
      <c r="D179">
        <v>70</v>
      </c>
      <c r="E179" t="s">
        <v>797</v>
      </c>
      <c r="F179" s="4" t="str">
        <f t="shared" si="27"/>
        <v>Bas-Uele</v>
      </c>
      <c r="G179" s="4" t="str">
        <f>IFERROR(VLOOKUP(C179,'Registre maintenance'!B:F,2,FALSE),"Non trouvé")</f>
        <v>Non trouvé</v>
      </c>
      <c r="H179" t="str">
        <f>IFERROR(VLOOKUP(C179,'Registre maintenance'!B:F,3,FALSE),"Non trouvé")</f>
        <v>Non trouvé</v>
      </c>
      <c r="I179" t="str">
        <f>IFERROR(VLOOKUP(C179,'Registre maintenance'!B:F,4,FALSE),"Non trouvé")</f>
        <v>Non trouvé</v>
      </c>
      <c r="J179" t="str">
        <f>IFERROR(VLOOKUP(C179,'Registre maintenance'!B:F,5,FALSE),"Non trouvé")</f>
        <v>Non trouvé</v>
      </c>
      <c r="K179" t="str">
        <f t="shared" si="21"/>
        <v>Mismatch</v>
      </c>
    </row>
    <row r="180" spans="1:11" x14ac:dyDescent="0.3">
      <c r="A180" t="s">
        <v>921</v>
      </c>
      <c r="B180" s="1">
        <v>45202.780555555553</v>
      </c>
      <c r="C180" t="s">
        <v>950</v>
      </c>
      <c r="D180">
        <v>53</v>
      </c>
      <c r="E180" t="s">
        <v>797</v>
      </c>
      <c r="F180" s="4" t="s">
        <v>77</v>
      </c>
      <c r="G180" s="4" t="str">
        <f>IFERROR(VLOOKUP(C180,'Registre maintenance'!B:F,2,FALSE),"Non trouvé")</f>
        <v>Maniema</v>
      </c>
      <c r="H180">
        <f>IFERROR(VLOOKUP(C180,'Registre maintenance'!B:F,3,FALSE),"Non trouvé")</f>
        <v>-2.3743210000000001</v>
      </c>
      <c r="I180">
        <f>IFERROR(VLOOKUP(C180,'Registre maintenance'!B:F,4,FALSE),"Non trouvé")</f>
        <v>22.399491000000001</v>
      </c>
      <c r="J180" t="str">
        <f>IFERROR(VLOOKUP(C180,'Registre maintenance'!B:F,5,FALSE),"Non trouvé")</f>
        <v>5G</v>
      </c>
      <c r="K180" t="str">
        <f t="shared" si="21"/>
        <v>OK</v>
      </c>
    </row>
    <row r="181" spans="1:11" x14ac:dyDescent="0.3">
      <c r="A181" t="s">
        <v>1059</v>
      </c>
      <c r="B181" s="1">
        <v>45216.26666666667</v>
      </c>
      <c r="C181" t="s">
        <v>950</v>
      </c>
      <c r="D181">
        <v>90</v>
      </c>
      <c r="E181" t="s">
        <v>797</v>
      </c>
      <c r="F181" s="4" t="s">
        <v>77</v>
      </c>
      <c r="G181" s="4" t="str">
        <f>IFERROR(VLOOKUP(C181,'Registre maintenance'!B:F,2,FALSE),"Non trouvé")</f>
        <v>Maniema</v>
      </c>
      <c r="H181">
        <f>IFERROR(VLOOKUP(C181,'Registre maintenance'!B:F,3,FALSE),"Non trouvé")</f>
        <v>-2.3743210000000001</v>
      </c>
      <c r="I181">
        <f>IFERROR(VLOOKUP(C181,'Registre maintenance'!B:F,4,FALSE),"Non trouvé")</f>
        <v>22.399491000000001</v>
      </c>
      <c r="J181" t="str">
        <f>IFERROR(VLOOKUP(C181,'Registre maintenance'!B:F,5,FALSE),"Non trouvé")</f>
        <v>5G</v>
      </c>
      <c r="K181" t="str">
        <f t="shared" si="21"/>
        <v>OK</v>
      </c>
    </row>
    <row r="182" spans="1:11" x14ac:dyDescent="0.3">
      <c r="A182" t="s">
        <v>839</v>
      </c>
      <c r="B182" s="1">
        <v>45221.84652777778</v>
      </c>
      <c r="C182" t="s">
        <v>879</v>
      </c>
      <c r="D182">
        <v>96</v>
      </c>
      <c r="E182" t="s">
        <v>797</v>
      </c>
      <c r="F182" s="4" t="str">
        <f t="shared" ref="F182:F183" si="28">F181</f>
        <v>Maniema</v>
      </c>
      <c r="G182" s="4" t="str">
        <f>IFERROR(VLOOKUP(C182,'Registre maintenance'!B:F,2,FALSE),"Non trouvé")</f>
        <v>Non trouvé</v>
      </c>
      <c r="H182" t="str">
        <f>IFERROR(VLOOKUP(C182,'Registre maintenance'!B:F,3,FALSE),"Non trouvé")</f>
        <v>Non trouvé</v>
      </c>
      <c r="I182" t="str">
        <f>IFERROR(VLOOKUP(C182,'Registre maintenance'!B:F,4,FALSE),"Non trouvé")</f>
        <v>Non trouvé</v>
      </c>
      <c r="J182" t="str">
        <f>IFERROR(VLOOKUP(C182,'Registre maintenance'!B:F,5,FALSE),"Non trouvé")</f>
        <v>Non trouvé</v>
      </c>
      <c r="K182" t="str">
        <f t="shared" si="21"/>
        <v>Mismatch</v>
      </c>
    </row>
    <row r="183" spans="1:11" x14ac:dyDescent="0.3">
      <c r="A183" t="s">
        <v>1038</v>
      </c>
      <c r="B183" s="1">
        <v>45205.154166666667</v>
      </c>
      <c r="C183" t="s">
        <v>879</v>
      </c>
      <c r="D183">
        <v>12</v>
      </c>
      <c r="E183" t="s">
        <v>792</v>
      </c>
      <c r="F183" s="4" t="str">
        <f t="shared" si="28"/>
        <v>Maniema</v>
      </c>
      <c r="G183" s="4" t="str">
        <f>IFERROR(VLOOKUP(C183,'Registre maintenance'!B:F,2,FALSE),"Non trouvé")</f>
        <v>Non trouvé</v>
      </c>
      <c r="H183" t="str">
        <f>IFERROR(VLOOKUP(C183,'Registre maintenance'!B:F,3,FALSE),"Non trouvé")</f>
        <v>Non trouvé</v>
      </c>
      <c r="I183" t="str">
        <f>IFERROR(VLOOKUP(C183,'Registre maintenance'!B:F,4,FALSE),"Non trouvé")</f>
        <v>Non trouvé</v>
      </c>
      <c r="J183" t="str">
        <f>IFERROR(VLOOKUP(C183,'Registre maintenance'!B:F,5,FALSE),"Non trouvé")</f>
        <v>Non trouvé</v>
      </c>
      <c r="K183" t="str">
        <f t="shared" si="21"/>
        <v>Mismatch</v>
      </c>
    </row>
    <row r="184" spans="1:11" x14ac:dyDescent="0.3">
      <c r="A184" t="s">
        <v>839</v>
      </c>
      <c r="B184" s="1">
        <v>45214.457638888889</v>
      </c>
      <c r="C184" t="s">
        <v>880</v>
      </c>
      <c r="D184">
        <v>48</v>
      </c>
      <c r="E184" t="s">
        <v>797</v>
      </c>
      <c r="F184" s="4" t="s">
        <v>30</v>
      </c>
      <c r="G184" s="4" t="str">
        <f>IFERROR(VLOOKUP(C184,'Registre maintenance'!B:F,2,FALSE),"Non trouvé")</f>
        <v>Sud-Ubangi</v>
      </c>
      <c r="H184">
        <f>IFERROR(VLOOKUP(C184,'Registre maintenance'!B:F,3,FALSE),"Non trouvé")</f>
        <v>-9.3652239999999995</v>
      </c>
      <c r="I184">
        <f>IFERROR(VLOOKUP(C184,'Registre maintenance'!B:F,4,FALSE),"Non trouvé")</f>
        <v>22.593423999999999</v>
      </c>
      <c r="J184" t="str">
        <f>IFERROR(VLOOKUP(C184,'Registre maintenance'!B:F,5,FALSE),"Non trouvé")</f>
        <v>5G</v>
      </c>
      <c r="K184" t="str">
        <f t="shared" si="21"/>
        <v>OK</v>
      </c>
    </row>
    <row r="185" spans="1:11" x14ac:dyDescent="0.3">
      <c r="A185" t="s">
        <v>839</v>
      </c>
      <c r="B185" s="1">
        <v>45224.083333333343</v>
      </c>
      <c r="C185" t="s">
        <v>881</v>
      </c>
      <c r="D185">
        <v>31</v>
      </c>
      <c r="E185" t="s">
        <v>792</v>
      </c>
      <c r="F185" s="4" t="str">
        <f t="shared" ref="F185:F186" si="29">F184</f>
        <v>Sud-Ubangi</v>
      </c>
      <c r="G185" s="4" t="str">
        <f>IFERROR(VLOOKUP(C185,'Registre maintenance'!B:F,2,FALSE),"Non trouvé")</f>
        <v>Non trouvé</v>
      </c>
      <c r="H185" t="str">
        <f>IFERROR(VLOOKUP(C185,'Registre maintenance'!B:F,3,FALSE),"Non trouvé")</f>
        <v>Non trouvé</v>
      </c>
      <c r="I185" t="str">
        <f>IFERROR(VLOOKUP(C185,'Registre maintenance'!B:F,4,FALSE),"Non trouvé")</f>
        <v>Non trouvé</v>
      </c>
      <c r="J185" t="str">
        <f>IFERROR(VLOOKUP(C185,'Registre maintenance'!B:F,5,FALSE),"Non trouvé")</f>
        <v>Non trouvé</v>
      </c>
      <c r="K185" t="str">
        <f t="shared" si="21"/>
        <v>Mismatch</v>
      </c>
    </row>
    <row r="186" spans="1:11" x14ac:dyDescent="0.3">
      <c r="A186" t="s">
        <v>839</v>
      </c>
      <c r="B186" s="1">
        <v>45214.816666666673</v>
      </c>
      <c r="C186" t="s">
        <v>882</v>
      </c>
      <c r="D186">
        <v>92</v>
      </c>
      <c r="E186" t="s">
        <v>797</v>
      </c>
      <c r="F186" s="4" t="str">
        <f t="shared" si="29"/>
        <v>Sud-Ubangi</v>
      </c>
      <c r="G186" s="4" t="str">
        <f>IFERROR(VLOOKUP(C186,'Registre maintenance'!B:F,2,FALSE),"Non trouvé")</f>
        <v>Non trouvé</v>
      </c>
      <c r="H186" t="str">
        <f>IFERROR(VLOOKUP(C186,'Registre maintenance'!B:F,3,FALSE),"Non trouvé")</f>
        <v>Non trouvé</v>
      </c>
      <c r="I186" t="str">
        <f>IFERROR(VLOOKUP(C186,'Registre maintenance'!B:F,4,FALSE),"Non trouvé")</f>
        <v>Non trouvé</v>
      </c>
      <c r="J186" t="str">
        <f>IFERROR(VLOOKUP(C186,'Registre maintenance'!B:F,5,FALSE),"Non trouvé")</f>
        <v>Non trouvé</v>
      </c>
      <c r="K186" t="str">
        <f t="shared" si="21"/>
        <v>Mismatch</v>
      </c>
    </row>
    <row r="187" spans="1:11" x14ac:dyDescent="0.3">
      <c r="A187" t="s">
        <v>883</v>
      </c>
      <c r="B187" s="1">
        <v>45230.004861111112</v>
      </c>
      <c r="C187" t="s">
        <v>884</v>
      </c>
      <c r="D187">
        <v>58</v>
      </c>
      <c r="E187" t="s">
        <v>792</v>
      </c>
      <c r="F187" s="4" t="s">
        <v>135</v>
      </c>
      <c r="G187" s="4" t="str">
        <f>IFERROR(VLOOKUP(C187,'Registre maintenance'!B:F,2,FALSE),"Non trouvé")</f>
        <v>Lualaba</v>
      </c>
      <c r="H187">
        <f>IFERROR(VLOOKUP(C187,'Registre maintenance'!B:F,3,FALSE),"Non trouvé")</f>
        <v>-7.4608439999999998</v>
      </c>
      <c r="I187">
        <f>IFERROR(VLOOKUP(C187,'Registre maintenance'!B:F,4,FALSE),"Non trouvé")</f>
        <v>23.268619999999999</v>
      </c>
      <c r="J187" t="str">
        <f>IFERROR(VLOOKUP(C187,'Registre maintenance'!B:F,5,FALSE),"Non trouvé")</f>
        <v>4G</v>
      </c>
      <c r="K187" t="str">
        <f t="shared" si="21"/>
        <v>OK</v>
      </c>
    </row>
    <row r="188" spans="1:11" x14ac:dyDescent="0.3">
      <c r="A188" t="s">
        <v>962</v>
      </c>
      <c r="B188" s="1">
        <v>45220.206944444442</v>
      </c>
      <c r="C188" t="s">
        <v>989</v>
      </c>
      <c r="D188">
        <v>25</v>
      </c>
      <c r="E188" t="s">
        <v>792</v>
      </c>
      <c r="F188" s="4" t="s">
        <v>59</v>
      </c>
      <c r="G188" s="4" t="str">
        <f>IFERROR(VLOOKUP(C188,'Registre maintenance'!B:F,2,FALSE),"Non trouvé")</f>
        <v>Equateur</v>
      </c>
      <c r="H188">
        <f>IFERROR(VLOOKUP(C188,'Registre maintenance'!B:F,3,FALSE),"Non trouvé")</f>
        <v>3.3289240000000002</v>
      </c>
      <c r="I188">
        <f>IFERROR(VLOOKUP(C188,'Registre maintenance'!B:F,4,FALSE),"Non trouvé")</f>
        <v>24.412261000000001</v>
      </c>
      <c r="J188" t="str">
        <f>IFERROR(VLOOKUP(C188,'Registre maintenance'!B:F,5,FALSE),"Non trouvé")</f>
        <v>5G</v>
      </c>
      <c r="K188" t="str">
        <f t="shared" si="21"/>
        <v>OK</v>
      </c>
    </row>
    <row r="189" spans="1:11" x14ac:dyDescent="0.3">
      <c r="A189" t="s">
        <v>883</v>
      </c>
      <c r="B189" s="1">
        <v>45228.34097222222</v>
      </c>
      <c r="C189" t="s">
        <v>885</v>
      </c>
      <c r="D189">
        <v>118</v>
      </c>
      <c r="E189" t="s">
        <v>797</v>
      </c>
      <c r="F189" s="4" t="str">
        <f t="shared" ref="F189:F194" si="30">F188</f>
        <v>Equateur</v>
      </c>
      <c r="G189" s="4" t="str">
        <f>IFERROR(VLOOKUP(C189,'Registre maintenance'!B:F,2,FALSE),"Non trouvé")</f>
        <v>Non trouvé</v>
      </c>
      <c r="H189" t="str">
        <f>IFERROR(VLOOKUP(C189,'Registre maintenance'!B:F,3,FALSE),"Non trouvé")</f>
        <v>Non trouvé</v>
      </c>
      <c r="I189" t="str">
        <f>IFERROR(VLOOKUP(C189,'Registre maintenance'!B:F,4,FALSE),"Non trouvé")</f>
        <v>Non trouvé</v>
      </c>
      <c r="J189" t="str">
        <f>IFERROR(VLOOKUP(C189,'Registre maintenance'!B:F,5,FALSE),"Non trouvé")</f>
        <v>Non trouvé</v>
      </c>
      <c r="K189" t="str">
        <f t="shared" si="21"/>
        <v>Mismatch</v>
      </c>
    </row>
    <row r="190" spans="1:11" x14ac:dyDescent="0.3">
      <c r="A190" t="s">
        <v>883</v>
      </c>
      <c r="B190" s="1">
        <v>45218.334722222222</v>
      </c>
      <c r="C190" t="s">
        <v>886</v>
      </c>
      <c r="D190">
        <v>85</v>
      </c>
      <c r="E190" t="s">
        <v>797</v>
      </c>
      <c r="F190" s="4" t="str">
        <f t="shared" si="30"/>
        <v>Equateur</v>
      </c>
      <c r="G190" s="4" t="str">
        <f>IFERROR(VLOOKUP(C190,'Registre maintenance'!B:F,2,FALSE),"Non trouvé")</f>
        <v>Non trouvé</v>
      </c>
      <c r="H190" t="str">
        <f>IFERROR(VLOOKUP(C190,'Registre maintenance'!B:F,3,FALSE),"Non trouvé")</f>
        <v>Non trouvé</v>
      </c>
      <c r="I190" t="str">
        <f>IFERROR(VLOOKUP(C190,'Registre maintenance'!B:F,4,FALSE),"Non trouvé")</f>
        <v>Non trouvé</v>
      </c>
      <c r="J190" t="str">
        <f>IFERROR(VLOOKUP(C190,'Registre maintenance'!B:F,5,FALSE),"Non trouvé")</f>
        <v>Non trouvé</v>
      </c>
      <c r="K190" t="str">
        <f t="shared" si="21"/>
        <v>Mismatch</v>
      </c>
    </row>
    <row r="191" spans="1:11" x14ac:dyDescent="0.3">
      <c r="A191" t="s">
        <v>883</v>
      </c>
      <c r="B191" s="1">
        <v>45203.810416666667</v>
      </c>
      <c r="C191" t="s">
        <v>887</v>
      </c>
      <c r="D191">
        <v>78</v>
      </c>
      <c r="E191" t="s">
        <v>797</v>
      </c>
      <c r="F191" s="4" t="str">
        <f t="shared" si="30"/>
        <v>Equateur</v>
      </c>
      <c r="G191" s="4" t="str">
        <f>IFERROR(VLOOKUP(C191,'Registre maintenance'!B:F,2,FALSE),"Non trouvé")</f>
        <v>Non trouvé</v>
      </c>
      <c r="H191" t="str">
        <f>IFERROR(VLOOKUP(C191,'Registre maintenance'!B:F,3,FALSE),"Non trouvé")</f>
        <v>Non trouvé</v>
      </c>
      <c r="I191" t="str">
        <f>IFERROR(VLOOKUP(C191,'Registre maintenance'!B:F,4,FALSE),"Non trouvé")</f>
        <v>Non trouvé</v>
      </c>
      <c r="J191" t="str">
        <f>IFERROR(VLOOKUP(C191,'Registre maintenance'!B:F,5,FALSE),"Non trouvé")</f>
        <v>Non trouvé</v>
      </c>
      <c r="K191" t="str">
        <f t="shared" si="21"/>
        <v>Mismatch</v>
      </c>
    </row>
    <row r="192" spans="1:11" x14ac:dyDescent="0.3">
      <c r="A192" t="s">
        <v>883</v>
      </c>
      <c r="B192" s="1">
        <v>45211.993055555547</v>
      </c>
      <c r="C192" t="s">
        <v>888</v>
      </c>
      <c r="D192">
        <v>29</v>
      </c>
      <c r="E192" t="s">
        <v>795</v>
      </c>
      <c r="F192" s="4" t="str">
        <f t="shared" si="30"/>
        <v>Equateur</v>
      </c>
      <c r="G192" s="4" t="str">
        <f>IFERROR(VLOOKUP(C192,'Registre maintenance'!B:F,2,FALSE),"Non trouvé")</f>
        <v>Non trouvé</v>
      </c>
      <c r="H192" t="str">
        <f>IFERROR(VLOOKUP(C192,'Registre maintenance'!B:F,3,FALSE),"Non trouvé")</f>
        <v>Non trouvé</v>
      </c>
      <c r="I192" t="str">
        <f>IFERROR(VLOOKUP(C192,'Registre maintenance'!B:F,4,FALSE),"Non trouvé")</f>
        <v>Non trouvé</v>
      </c>
      <c r="J192" t="str">
        <f>IFERROR(VLOOKUP(C192,'Registre maintenance'!B:F,5,FALSE),"Non trouvé")</f>
        <v>Non trouvé</v>
      </c>
      <c r="K192" t="str">
        <f t="shared" si="21"/>
        <v>Mismatch</v>
      </c>
    </row>
    <row r="193" spans="1:11" x14ac:dyDescent="0.3">
      <c r="A193" t="s">
        <v>883</v>
      </c>
      <c r="B193" s="1">
        <v>45216.14166666667</v>
      </c>
      <c r="C193" t="s">
        <v>890</v>
      </c>
      <c r="D193">
        <v>94</v>
      </c>
      <c r="E193" t="s">
        <v>792</v>
      </c>
      <c r="F193" s="4" t="str">
        <f t="shared" si="30"/>
        <v>Equateur</v>
      </c>
      <c r="G193" s="4" t="str">
        <f>IFERROR(VLOOKUP(C193,'Registre maintenance'!B:F,2,FALSE),"Non trouvé")</f>
        <v>Non trouvé</v>
      </c>
      <c r="H193" t="str">
        <f>IFERROR(VLOOKUP(C193,'Registre maintenance'!B:F,3,FALSE),"Non trouvé")</f>
        <v>Non trouvé</v>
      </c>
      <c r="I193" t="str">
        <f>IFERROR(VLOOKUP(C193,'Registre maintenance'!B:F,4,FALSE),"Non trouvé")</f>
        <v>Non trouvé</v>
      </c>
      <c r="J193" t="str">
        <f>IFERROR(VLOOKUP(C193,'Registre maintenance'!B:F,5,FALSE),"Non trouvé")</f>
        <v>Non trouvé</v>
      </c>
      <c r="K193" t="str">
        <f t="shared" si="21"/>
        <v>Mismatch</v>
      </c>
    </row>
    <row r="194" spans="1:11" x14ac:dyDescent="0.3">
      <c r="A194" t="s">
        <v>883</v>
      </c>
      <c r="B194" s="1">
        <v>45228.758333333331</v>
      </c>
      <c r="C194" t="s">
        <v>891</v>
      </c>
      <c r="D194">
        <v>54</v>
      </c>
      <c r="E194" t="s">
        <v>792</v>
      </c>
      <c r="F194" s="4" t="str">
        <f t="shared" si="30"/>
        <v>Equateur</v>
      </c>
      <c r="G194" s="4" t="str">
        <f>IFERROR(VLOOKUP(C194,'Registre maintenance'!B:F,2,FALSE),"Non trouvé")</f>
        <v>Non trouvé</v>
      </c>
      <c r="H194" t="str">
        <f>IFERROR(VLOOKUP(C194,'Registre maintenance'!B:F,3,FALSE),"Non trouvé")</f>
        <v>Non trouvé</v>
      </c>
      <c r="I194" t="str">
        <f>IFERROR(VLOOKUP(C194,'Registre maintenance'!B:F,4,FALSE),"Non trouvé")</f>
        <v>Non trouvé</v>
      </c>
      <c r="J194" t="str">
        <f>IFERROR(VLOOKUP(C194,'Registre maintenance'!B:F,5,FALSE),"Non trouvé")</f>
        <v>Non trouvé</v>
      </c>
      <c r="K194" t="str">
        <f t="shared" ref="K194:K257" si="31">IF(F194=G194,"OK","Mismatch")</f>
        <v>Mismatch</v>
      </c>
    </row>
    <row r="195" spans="1:11" x14ac:dyDescent="0.3">
      <c r="A195" t="s">
        <v>883</v>
      </c>
      <c r="B195" s="1">
        <v>45223.990972222222</v>
      </c>
      <c r="C195" t="s">
        <v>894</v>
      </c>
      <c r="D195">
        <v>23</v>
      </c>
      <c r="E195" t="s">
        <v>792</v>
      </c>
      <c r="F195" s="4" t="s">
        <v>34</v>
      </c>
      <c r="G195" s="4" t="str">
        <f>IFERROR(VLOOKUP(C195,'Registre maintenance'!B:F,2,FALSE),"Non trouvé")</f>
        <v>Sankuru</v>
      </c>
      <c r="H195">
        <f>IFERROR(VLOOKUP(C195,'Registre maintenance'!B:F,3,FALSE),"Non trouvé")</f>
        <v>-8.0922239999999999</v>
      </c>
      <c r="I195">
        <f>IFERROR(VLOOKUP(C195,'Registre maintenance'!B:F,4,FALSE),"Non trouvé")</f>
        <v>15.483708</v>
      </c>
      <c r="J195" t="str">
        <f>IFERROR(VLOOKUP(C195,'Registre maintenance'!B:F,5,FALSE),"Non trouvé")</f>
        <v>5G</v>
      </c>
      <c r="K195" t="str">
        <f t="shared" si="31"/>
        <v>OK</v>
      </c>
    </row>
    <row r="196" spans="1:11" x14ac:dyDescent="0.3">
      <c r="A196" t="s">
        <v>883</v>
      </c>
      <c r="B196" s="1">
        <v>45221.265972222223</v>
      </c>
      <c r="C196" t="s">
        <v>895</v>
      </c>
      <c r="D196">
        <v>88</v>
      </c>
      <c r="E196" t="s">
        <v>795</v>
      </c>
      <c r="F196" s="4" t="s">
        <v>63</v>
      </c>
      <c r="G196" s="4" t="str">
        <f>IFERROR(VLOOKUP(C196,'Registre maintenance'!B:F,2,FALSE),"Non trouvé")</f>
        <v>Kinshasa</v>
      </c>
      <c r="H196">
        <f>IFERROR(VLOOKUP(C196,'Registre maintenance'!B:F,3,FALSE),"Non trouvé")</f>
        <v>-1.339734</v>
      </c>
      <c r="I196">
        <f>IFERROR(VLOOKUP(C196,'Registre maintenance'!B:F,4,FALSE),"Non trouvé")</f>
        <v>15.243098</v>
      </c>
      <c r="J196" t="str">
        <f>IFERROR(VLOOKUP(C196,'Registre maintenance'!B:F,5,FALSE),"Non trouvé")</f>
        <v>3G</v>
      </c>
      <c r="K196" t="str">
        <f t="shared" si="31"/>
        <v>OK</v>
      </c>
    </row>
    <row r="197" spans="1:11" x14ac:dyDescent="0.3">
      <c r="A197" t="s">
        <v>883</v>
      </c>
      <c r="B197" s="1">
        <v>45213.112500000003</v>
      </c>
      <c r="C197" t="s">
        <v>896</v>
      </c>
      <c r="D197">
        <v>93</v>
      </c>
      <c r="E197" t="s">
        <v>792</v>
      </c>
      <c r="F197" s="4" t="str">
        <f t="shared" ref="F197:F201" si="32">F196</f>
        <v>Kinshasa</v>
      </c>
      <c r="G197" s="4" t="str">
        <f>IFERROR(VLOOKUP(C197,'Registre maintenance'!B:F,2,FALSE),"Non trouvé")</f>
        <v>Non trouvé</v>
      </c>
      <c r="H197" t="str">
        <f>IFERROR(VLOOKUP(C197,'Registre maintenance'!B:F,3,FALSE),"Non trouvé")</f>
        <v>Non trouvé</v>
      </c>
      <c r="I197" t="str">
        <f>IFERROR(VLOOKUP(C197,'Registre maintenance'!B:F,4,FALSE),"Non trouvé")</f>
        <v>Non trouvé</v>
      </c>
      <c r="J197" t="str">
        <f>IFERROR(VLOOKUP(C197,'Registre maintenance'!B:F,5,FALSE),"Non trouvé")</f>
        <v>Non trouvé</v>
      </c>
      <c r="K197" t="str">
        <f t="shared" si="31"/>
        <v>Mismatch</v>
      </c>
    </row>
    <row r="198" spans="1:11" x14ac:dyDescent="0.3">
      <c r="A198" t="s">
        <v>999</v>
      </c>
      <c r="B198" s="1">
        <v>45207.611111111109</v>
      </c>
      <c r="C198" t="s">
        <v>896</v>
      </c>
      <c r="D198">
        <v>107</v>
      </c>
      <c r="E198" t="s">
        <v>795</v>
      </c>
      <c r="F198" s="4" t="str">
        <f t="shared" si="32"/>
        <v>Kinshasa</v>
      </c>
      <c r="G198" s="4" t="str">
        <f>IFERROR(VLOOKUP(C198,'Registre maintenance'!B:F,2,FALSE),"Non trouvé")</f>
        <v>Non trouvé</v>
      </c>
      <c r="H198" t="str">
        <f>IFERROR(VLOOKUP(C198,'Registre maintenance'!B:F,3,FALSE),"Non trouvé")</f>
        <v>Non trouvé</v>
      </c>
      <c r="I198" t="str">
        <f>IFERROR(VLOOKUP(C198,'Registre maintenance'!B:F,4,FALSE),"Non trouvé")</f>
        <v>Non trouvé</v>
      </c>
      <c r="J198" t="str">
        <f>IFERROR(VLOOKUP(C198,'Registre maintenance'!B:F,5,FALSE),"Non trouvé")</f>
        <v>Non trouvé</v>
      </c>
      <c r="K198" t="str">
        <f t="shared" si="31"/>
        <v>Mismatch</v>
      </c>
    </row>
    <row r="199" spans="1:11" x14ac:dyDescent="0.3">
      <c r="A199" t="s">
        <v>883</v>
      </c>
      <c r="B199" s="1">
        <v>45210.912499999999</v>
      </c>
      <c r="C199" t="s">
        <v>898</v>
      </c>
      <c r="D199">
        <v>119</v>
      </c>
      <c r="E199" t="s">
        <v>797</v>
      </c>
      <c r="F199" s="4" t="str">
        <f t="shared" si="32"/>
        <v>Kinshasa</v>
      </c>
      <c r="G199" s="4" t="str">
        <f>IFERROR(VLOOKUP(C199,'Registre maintenance'!B:F,2,FALSE),"Non trouvé")</f>
        <v>Non trouvé</v>
      </c>
      <c r="H199" t="str">
        <f>IFERROR(VLOOKUP(C199,'Registre maintenance'!B:F,3,FALSE),"Non trouvé")</f>
        <v>Non trouvé</v>
      </c>
      <c r="I199" t="str">
        <f>IFERROR(VLOOKUP(C199,'Registre maintenance'!B:F,4,FALSE),"Non trouvé")</f>
        <v>Non trouvé</v>
      </c>
      <c r="J199" t="str">
        <f>IFERROR(VLOOKUP(C199,'Registre maintenance'!B:F,5,FALSE),"Non trouvé")</f>
        <v>Non trouvé</v>
      </c>
      <c r="K199" t="str">
        <f t="shared" si="31"/>
        <v>Mismatch</v>
      </c>
    </row>
    <row r="200" spans="1:11" x14ac:dyDescent="0.3">
      <c r="A200" t="s">
        <v>1038</v>
      </c>
      <c r="B200" s="1">
        <v>45220.792361111111</v>
      </c>
      <c r="C200" t="s">
        <v>898</v>
      </c>
      <c r="D200">
        <v>10</v>
      </c>
      <c r="E200" t="s">
        <v>797</v>
      </c>
      <c r="F200" s="4" t="str">
        <f t="shared" si="32"/>
        <v>Kinshasa</v>
      </c>
      <c r="G200" s="4" t="str">
        <f>IFERROR(VLOOKUP(C200,'Registre maintenance'!B:F,2,FALSE),"Non trouvé")</f>
        <v>Non trouvé</v>
      </c>
      <c r="H200" t="str">
        <f>IFERROR(VLOOKUP(C200,'Registre maintenance'!B:F,3,FALSE),"Non trouvé")</f>
        <v>Non trouvé</v>
      </c>
      <c r="I200" t="str">
        <f>IFERROR(VLOOKUP(C200,'Registre maintenance'!B:F,4,FALSE),"Non trouvé")</f>
        <v>Non trouvé</v>
      </c>
      <c r="J200" t="str">
        <f>IFERROR(VLOOKUP(C200,'Registre maintenance'!B:F,5,FALSE),"Non trouvé")</f>
        <v>Non trouvé</v>
      </c>
      <c r="K200" t="str">
        <f t="shared" si="31"/>
        <v>Mismatch</v>
      </c>
    </row>
    <row r="201" spans="1:11" x14ac:dyDescent="0.3">
      <c r="A201" t="s">
        <v>883</v>
      </c>
      <c r="B201" s="1">
        <v>45209.679861111108</v>
      </c>
      <c r="C201" t="s">
        <v>900</v>
      </c>
      <c r="D201">
        <v>115</v>
      </c>
      <c r="E201" t="s">
        <v>797</v>
      </c>
      <c r="F201" s="4" t="str">
        <f t="shared" si="32"/>
        <v>Kinshasa</v>
      </c>
      <c r="G201" s="4" t="str">
        <f>IFERROR(VLOOKUP(C201,'Registre maintenance'!B:F,2,FALSE),"Non trouvé")</f>
        <v>Non trouvé</v>
      </c>
      <c r="H201" t="str">
        <f>IFERROR(VLOOKUP(C201,'Registre maintenance'!B:F,3,FALSE),"Non trouvé")</f>
        <v>Non trouvé</v>
      </c>
      <c r="I201" t="str">
        <f>IFERROR(VLOOKUP(C201,'Registre maintenance'!B:F,4,FALSE),"Non trouvé")</f>
        <v>Non trouvé</v>
      </c>
      <c r="J201" t="str">
        <f>IFERROR(VLOOKUP(C201,'Registre maintenance'!B:F,5,FALSE),"Non trouvé")</f>
        <v>Non trouvé</v>
      </c>
      <c r="K201" t="str">
        <f t="shared" si="31"/>
        <v>Mismatch</v>
      </c>
    </row>
    <row r="202" spans="1:11" x14ac:dyDescent="0.3">
      <c r="A202" t="s">
        <v>921</v>
      </c>
      <c r="B202" s="1">
        <v>45210.45</v>
      </c>
      <c r="C202" t="s">
        <v>932</v>
      </c>
      <c r="D202">
        <v>66</v>
      </c>
      <c r="E202" t="s">
        <v>792</v>
      </c>
      <c r="F202" s="4" t="s">
        <v>135</v>
      </c>
      <c r="G202" s="4" t="str">
        <f>IFERROR(VLOOKUP(C202,'Registre maintenance'!B:F,2,FALSE),"Non trouvé")</f>
        <v>Lualaba</v>
      </c>
      <c r="H202">
        <f>IFERROR(VLOOKUP(C202,'Registre maintenance'!B:F,3,FALSE),"Non trouvé")</f>
        <v>-9.7803979999999999</v>
      </c>
      <c r="I202">
        <f>IFERROR(VLOOKUP(C202,'Registre maintenance'!B:F,4,FALSE),"Non trouvé")</f>
        <v>17.686595000000001</v>
      </c>
      <c r="J202" t="str">
        <f>IFERROR(VLOOKUP(C202,'Registre maintenance'!B:F,5,FALSE),"Non trouvé")</f>
        <v>4G</v>
      </c>
      <c r="K202" t="str">
        <f t="shared" si="31"/>
        <v>OK</v>
      </c>
    </row>
    <row r="203" spans="1:11" x14ac:dyDescent="0.3">
      <c r="A203" t="s">
        <v>883</v>
      </c>
      <c r="B203" s="1">
        <v>45221.555555555547</v>
      </c>
      <c r="C203" t="s">
        <v>901</v>
      </c>
      <c r="D203">
        <v>103</v>
      </c>
      <c r="E203" t="s">
        <v>795</v>
      </c>
      <c r="F203" s="4" t="str">
        <f t="shared" ref="F203:F210" si="33">F202</f>
        <v>Lualaba</v>
      </c>
      <c r="G203" s="4" t="str">
        <f>IFERROR(VLOOKUP(C203,'Registre maintenance'!B:F,2,FALSE),"Non trouvé")</f>
        <v>Non trouvé</v>
      </c>
      <c r="H203" t="str">
        <f>IFERROR(VLOOKUP(C203,'Registre maintenance'!B:F,3,FALSE),"Non trouvé")</f>
        <v>Non trouvé</v>
      </c>
      <c r="I203" t="str">
        <f>IFERROR(VLOOKUP(C203,'Registre maintenance'!B:F,4,FALSE),"Non trouvé")</f>
        <v>Non trouvé</v>
      </c>
      <c r="J203" t="str">
        <f>IFERROR(VLOOKUP(C203,'Registre maintenance'!B:F,5,FALSE),"Non trouvé")</f>
        <v>Non trouvé</v>
      </c>
      <c r="K203" t="str">
        <f t="shared" si="31"/>
        <v>Mismatch</v>
      </c>
    </row>
    <row r="204" spans="1:11" x14ac:dyDescent="0.3">
      <c r="A204" t="s">
        <v>962</v>
      </c>
      <c r="B204" s="1">
        <v>45227.775694444441</v>
      </c>
      <c r="C204" t="s">
        <v>901</v>
      </c>
      <c r="D204">
        <v>45</v>
      </c>
      <c r="E204" t="s">
        <v>797</v>
      </c>
      <c r="F204" s="4" t="str">
        <f t="shared" si="33"/>
        <v>Lualaba</v>
      </c>
      <c r="G204" s="4" t="str">
        <f>IFERROR(VLOOKUP(C204,'Registre maintenance'!B:F,2,FALSE),"Non trouvé")</f>
        <v>Non trouvé</v>
      </c>
      <c r="H204" t="str">
        <f>IFERROR(VLOOKUP(C204,'Registre maintenance'!B:F,3,FALSE),"Non trouvé")</f>
        <v>Non trouvé</v>
      </c>
      <c r="I204" t="str">
        <f>IFERROR(VLOOKUP(C204,'Registre maintenance'!B:F,4,FALSE),"Non trouvé")</f>
        <v>Non trouvé</v>
      </c>
      <c r="J204" t="str">
        <f>IFERROR(VLOOKUP(C204,'Registre maintenance'!B:F,5,FALSE),"Non trouvé")</f>
        <v>Non trouvé</v>
      </c>
      <c r="K204" t="str">
        <f t="shared" si="31"/>
        <v>Mismatch</v>
      </c>
    </row>
    <row r="205" spans="1:11" x14ac:dyDescent="0.3">
      <c r="A205" t="s">
        <v>883</v>
      </c>
      <c r="B205" s="1">
        <v>45212.929166666669</v>
      </c>
      <c r="C205" t="s">
        <v>902</v>
      </c>
      <c r="D205">
        <v>118</v>
      </c>
      <c r="E205" t="s">
        <v>797</v>
      </c>
      <c r="F205" s="4" t="str">
        <f t="shared" si="33"/>
        <v>Lualaba</v>
      </c>
      <c r="G205" s="4" t="str">
        <f>IFERROR(VLOOKUP(C205,'Registre maintenance'!B:F,2,FALSE),"Non trouvé")</f>
        <v>Non trouvé</v>
      </c>
      <c r="H205" t="str">
        <f>IFERROR(VLOOKUP(C205,'Registre maintenance'!B:F,3,FALSE),"Non trouvé")</f>
        <v>Non trouvé</v>
      </c>
      <c r="I205" t="str">
        <f>IFERROR(VLOOKUP(C205,'Registre maintenance'!B:F,4,FALSE),"Non trouvé")</f>
        <v>Non trouvé</v>
      </c>
      <c r="J205" t="str">
        <f>IFERROR(VLOOKUP(C205,'Registre maintenance'!B:F,5,FALSE),"Non trouvé")</f>
        <v>Non trouvé</v>
      </c>
      <c r="K205" t="str">
        <f t="shared" si="31"/>
        <v>Mismatch</v>
      </c>
    </row>
    <row r="206" spans="1:11" x14ac:dyDescent="0.3">
      <c r="A206" t="s">
        <v>883</v>
      </c>
      <c r="B206" s="1">
        <v>45213.89166666667</v>
      </c>
      <c r="C206" t="s">
        <v>904</v>
      </c>
      <c r="D206">
        <v>104</v>
      </c>
      <c r="E206" t="s">
        <v>792</v>
      </c>
      <c r="F206" s="4" t="str">
        <f t="shared" si="33"/>
        <v>Lualaba</v>
      </c>
      <c r="G206" s="4" t="str">
        <f>IFERROR(VLOOKUP(C206,'Registre maintenance'!B:F,2,FALSE),"Non trouvé")</f>
        <v>Non trouvé</v>
      </c>
      <c r="H206" t="str">
        <f>IFERROR(VLOOKUP(C206,'Registre maintenance'!B:F,3,FALSE),"Non trouvé")</f>
        <v>Non trouvé</v>
      </c>
      <c r="I206" t="str">
        <f>IFERROR(VLOOKUP(C206,'Registre maintenance'!B:F,4,FALSE),"Non trouvé")</f>
        <v>Non trouvé</v>
      </c>
      <c r="J206" t="str">
        <f>IFERROR(VLOOKUP(C206,'Registre maintenance'!B:F,5,FALSE),"Non trouvé")</f>
        <v>Non trouvé</v>
      </c>
      <c r="K206" t="str">
        <f t="shared" si="31"/>
        <v>Mismatch</v>
      </c>
    </row>
    <row r="207" spans="1:11" x14ac:dyDescent="0.3">
      <c r="A207" t="s">
        <v>883</v>
      </c>
      <c r="B207" s="1">
        <v>45221.997916666667</v>
      </c>
      <c r="C207" t="s">
        <v>905</v>
      </c>
      <c r="D207">
        <v>59</v>
      </c>
      <c r="E207" t="s">
        <v>792</v>
      </c>
      <c r="F207" s="4" t="str">
        <f t="shared" si="33"/>
        <v>Lualaba</v>
      </c>
      <c r="G207" s="4" t="str">
        <f>IFERROR(VLOOKUP(C207,'Registre maintenance'!B:F,2,FALSE),"Non trouvé")</f>
        <v>Non trouvé</v>
      </c>
      <c r="H207" t="str">
        <f>IFERROR(VLOOKUP(C207,'Registre maintenance'!B:F,3,FALSE),"Non trouvé")</f>
        <v>Non trouvé</v>
      </c>
      <c r="I207" t="str">
        <f>IFERROR(VLOOKUP(C207,'Registre maintenance'!B:F,4,FALSE),"Non trouvé")</f>
        <v>Non trouvé</v>
      </c>
      <c r="J207" t="str">
        <f>IFERROR(VLOOKUP(C207,'Registre maintenance'!B:F,5,FALSE),"Non trouvé")</f>
        <v>Non trouvé</v>
      </c>
      <c r="K207" t="str">
        <f t="shared" si="31"/>
        <v>Mismatch</v>
      </c>
    </row>
    <row r="208" spans="1:11" x14ac:dyDescent="0.3">
      <c r="A208" t="s">
        <v>883</v>
      </c>
      <c r="B208" s="1">
        <v>45205.816666666673</v>
      </c>
      <c r="C208" t="s">
        <v>906</v>
      </c>
      <c r="D208">
        <v>33</v>
      </c>
      <c r="E208" t="s">
        <v>797</v>
      </c>
      <c r="F208" s="4" t="str">
        <f t="shared" si="33"/>
        <v>Lualaba</v>
      </c>
      <c r="G208" s="4" t="str">
        <f>IFERROR(VLOOKUP(C208,'Registre maintenance'!B:F,2,FALSE),"Non trouvé")</f>
        <v>Non trouvé</v>
      </c>
      <c r="H208" t="str">
        <f>IFERROR(VLOOKUP(C208,'Registre maintenance'!B:F,3,FALSE),"Non trouvé")</f>
        <v>Non trouvé</v>
      </c>
      <c r="I208" t="str">
        <f>IFERROR(VLOOKUP(C208,'Registre maintenance'!B:F,4,FALSE),"Non trouvé")</f>
        <v>Non trouvé</v>
      </c>
      <c r="J208" t="str">
        <f>IFERROR(VLOOKUP(C208,'Registre maintenance'!B:F,5,FALSE),"Non trouvé")</f>
        <v>Non trouvé</v>
      </c>
      <c r="K208" t="str">
        <f t="shared" si="31"/>
        <v>Mismatch</v>
      </c>
    </row>
    <row r="209" spans="1:11" x14ac:dyDescent="0.3">
      <c r="A209" t="s">
        <v>883</v>
      </c>
      <c r="B209" s="1">
        <v>45209.524305555547</v>
      </c>
      <c r="C209" t="s">
        <v>907</v>
      </c>
      <c r="D209">
        <v>27</v>
      </c>
      <c r="E209" t="s">
        <v>797</v>
      </c>
      <c r="F209" s="4" t="str">
        <f t="shared" si="33"/>
        <v>Lualaba</v>
      </c>
      <c r="G209" s="4" t="str">
        <f>IFERROR(VLOOKUP(C209,'Registre maintenance'!B:F,2,FALSE),"Non trouvé")</f>
        <v>Non trouvé</v>
      </c>
      <c r="H209" t="str">
        <f>IFERROR(VLOOKUP(C209,'Registre maintenance'!B:F,3,FALSE),"Non trouvé")</f>
        <v>Non trouvé</v>
      </c>
      <c r="I209" t="str">
        <f>IFERROR(VLOOKUP(C209,'Registre maintenance'!B:F,4,FALSE),"Non trouvé")</f>
        <v>Non trouvé</v>
      </c>
      <c r="J209" t="str">
        <f>IFERROR(VLOOKUP(C209,'Registre maintenance'!B:F,5,FALSE),"Non trouvé")</f>
        <v>Non trouvé</v>
      </c>
      <c r="K209" t="str">
        <f t="shared" si="31"/>
        <v>Mismatch</v>
      </c>
    </row>
    <row r="210" spans="1:11" x14ac:dyDescent="0.3">
      <c r="A210" t="s">
        <v>883</v>
      </c>
      <c r="B210" s="1">
        <v>45226.013194444437</v>
      </c>
      <c r="C210" t="s">
        <v>908</v>
      </c>
      <c r="D210">
        <v>107</v>
      </c>
      <c r="E210" t="s">
        <v>795</v>
      </c>
      <c r="F210" s="4" t="str">
        <f t="shared" si="33"/>
        <v>Lualaba</v>
      </c>
      <c r="G210" s="4" t="str">
        <f>IFERROR(VLOOKUP(C210,'Registre maintenance'!B:F,2,FALSE),"Non trouvé")</f>
        <v>Non trouvé</v>
      </c>
      <c r="H210" t="str">
        <f>IFERROR(VLOOKUP(C210,'Registre maintenance'!B:F,3,FALSE),"Non trouvé")</f>
        <v>Non trouvé</v>
      </c>
      <c r="I210" t="str">
        <f>IFERROR(VLOOKUP(C210,'Registre maintenance'!B:F,4,FALSE),"Non trouvé")</f>
        <v>Non trouvé</v>
      </c>
      <c r="J210" t="str">
        <f>IFERROR(VLOOKUP(C210,'Registre maintenance'!B:F,5,FALSE),"Non trouvé")</f>
        <v>Non trouvé</v>
      </c>
      <c r="K210" t="str">
        <f t="shared" si="31"/>
        <v>Mismatch</v>
      </c>
    </row>
    <row r="211" spans="1:11" x14ac:dyDescent="0.3">
      <c r="A211" t="s">
        <v>1084</v>
      </c>
      <c r="B211" s="1">
        <v>45226.37777777778</v>
      </c>
      <c r="C211" t="s">
        <v>1086</v>
      </c>
      <c r="D211">
        <v>74</v>
      </c>
      <c r="E211" t="s">
        <v>797</v>
      </c>
      <c r="F211" s="4" t="s">
        <v>15</v>
      </c>
      <c r="G211" s="4" t="str">
        <f>IFERROR(VLOOKUP(C211,'Registre maintenance'!B:F,2,FALSE),"Non trouvé")</f>
        <v>Mongala</v>
      </c>
      <c r="H211">
        <f>IFERROR(VLOOKUP(C211,'Registre maintenance'!B:F,3,FALSE),"Non trouvé")</f>
        <v>4.6809229999999999</v>
      </c>
      <c r="I211">
        <f>IFERROR(VLOOKUP(C211,'Registre maintenance'!B:F,4,FALSE),"Non trouvé")</f>
        <v>28.934242000000001</v>
      </c>
      <c r="J211" t="str">
        <f>IFERROR(VLOOKUP(C211,'Registre maintenance'!B:F,5,FALSE),"Non trouvé")</f>
        <v>5G</v>
      </c>
      <c r="K211" t="str">
        <f t="shared" si="31"/>
        <v>OK</v>
      </c>
    </row>
    <row r="212" spans="1:11" x14ac:dyDescent="0.3">
      <c r="A212" t="s">
        <v>883</v>
      </c>
      <c r="B212" s="1">
        <v>45209.268750000003</v>
      </c>
      <c r="C212" t="s">
        <v>909</v>
      </c>
      <c r="D212">
        <v>94</v>
      </c>
      <c r="E212" t="s">
        <v>795</v>
      </c>
      <c r="F212" s="4" t="str">
        <f t="shared" ref="F212:F213" si="34">F211</f>
        <v>Mongala</v>
      </c>
      <c r="G212" s="4" t="str">
        <f>IFERROR(VLOOKUP(C212,'Registre maintenance'!B:F,2,FALSE),"Non trouvé")</f>
        <v>Non trouvé</v>
      </c>
      <c r="H212" t="str">
        <f>IFERROR(VLOOKUP(C212,'Registre maintenance'!B:F,3,FALSE),"Non trouvé")</f>
        <v>Non trouvé</v>
      </c>
      <c r="I212" t="str">
        <f>IFERROR(VLOOKUP(C212,'Registre maintenance'!B:F,4,FALSE),"Non trouvé")</f>
        <v>Non trouvé</v>
      </c>
      <c r="J212" t="str">
        <f>IFERROR(VLOOKUP(C212,'Registre maintenance'!B:F,5,FALSE),"Non trouvé")</f>
        <v>Non trouvé</v>
      </c>
      <c r="K212" t="str">
        <f t="shared" si="31"/>
        <v>Mismatch</v>
      </c>
    </row>
    <row r="213" spans="1:11" x14ac:dyDescent="0.3">
      <c r="A213" t="s">
        <v>883</v>
      </c>
      <c r="B213" s="1">
        <v>45214.613194444442</v>
      </c>
      <c r="C213" t="s">
        <v>910</v>
      </c>
      <c r="D213">
        <v>11</v>
      </c>
      <c r="E213" t="s">
        <v>797</v>
      </c>
      <c r="F213" s="4" t="str">
        <f t="shared" si="34"/>
        <v>Mongala</v>
      </c>
      <c r="G213" s="4" t="str">
        <f>IFERROR(VLOOKUP(C213,'Registre maintenance'!B:F,2,FALSE),"Non trouvé")</f>
        <v>Non trouvé</v>
      </c>
      <c r="H213" t="str">
        <f>IFERROR(VLOOKUP(C213,'Registre maintenance'!B:F,3,FALSE),"Non trouvé")</f>
        <v>Non trouvé</v>
      </c>
      <c r="I213" t="str">
        <f>IFERROR(VLOOKUP(C213,'Registre maintenance'!B:F,4,FALSE),"Non trouvé")</f>
        <v>Non trouvé</v>
      </c>
      <c r="J213" t="str">
        <f>IFERROR(VLOOKUP(C213,'Registre maintenance'!B:F,5,FALSE),"Non trouvé")</f>
        <v>Non trouvé</v>
      </c>
      <c r="K213" t="str">
        <f t="shared" si="31"/>
        <v>Mismatch</v>
      </c>
    </row>
    <row r="214" spans="1:11" x14ac:dyDescent="0.3">
      <c r="A214" t="s">
        <v>883</v>
      </c>
      <c r="B214" s="1">
        <v>45206.6875</v>
      </c>
      <c r="C214" t="s">
        <v>911</v>
      </c>
      <c r="D214">
        <v>76</v>
      </c>
      <c r="E214" t="s">
        <v>797</v>
      </c>
      <c r="F214" s="4" t="s">
        <v>125</v>
      </c>
      <c r="G214" s="4" t="str">
        <f>IFERROR(VLOOKUP(C214,'Registre maintenance'!B:F,2,FALSE),"Non trouvé")</f>
        <v>Haut-Uele</v>
      </c>
      <c r="H214">
        <f>IFERROR(VLOOKUP(C214,'Registre maintenance'!B:F,3,FALSE),"Non trouvé")</f>
        <v>-12.100756000000001</v>
      </c>
      <c r="I214">
        <f>IFERROR(VLOOKUP(C214,'Registre maintenance'!B:F,4,FALSE),"Non trouvé")</f>
        <v>21.938649999999999</v>
      </c>
      <c r="J214" t="str">
        <f>IFERROR(VLOOKUP(C214,'Registre maintenance'!B:F,5,FALSE),"Non trouvé")</f>
        <v>4G</v>
      </c>
      <c r="K214" t="str">
        <f t="shared" si="31"/>
        <v>OK</v>
      </c>
    </row>
    <row r="215" spans="1:11" x14ac:dyDescent="0.3">
      <c r="A215" t="s">
        <v>1084</v>
      </c>
      <c r="B215" s="1">
        <v>45216.693749999999</v>
      </c>
      <c r="C215" t="s">
        <v>911</v>
      </c>
      <c r="D215">
        <v>24</v>
      </c>
      <c r="E215" t="s">
        <v>797</v>
      </c>
      <c r="F215" s="4" t="s">
        <v>125</v>
      </c>
      <c r="G215" s="4" t="str">
        <f>IFERROR(VLOOKUP(C215,'Registre maintenance'!B:F,2,FALSE),"Non trouvé")</f>
        <v>Haut-Uele</v>
      </c>
      <c r="H215">
        <f>IFERROR(VLOOKUP(C215,'Registre maintenance'!B:F,3,FALSE),"Non trouvé")</f>
        <v>-12.100756000000001</v>
      </c>
      <c r="I215">
        <f>IFERROR(VLOOKUP(C215,'Registre maintenance'!B:F,4,FALSE),"Non trouvé")</f>
        <v>21.938649999999999</v>
      </c>
      <c r="J215" t="str">
        <f>IFERROR(VLOOKUP(C215,'Registre maintenance'!B:F,5,FALSE),"Non trouvé")</f>
        <v>4G</v>
      </c>
      <c r="K215" t="str">
        <f t="shared" si="31"/>
        <v>OK</v>
      </c>
    </row>
    <row r="216" spans="1:11" x14ac:dyDescent="0.3">
      <c r="A216" t="s">
        <v>999</v>
      </c>
      <c r="B216" s="1">
        <v>45210.280555555553</v>
      </c>
      <c r="C216" t="s">
        <v>1001</v>
      </c>
      <c r="D216">
        <v>43</v>
      </c>
      <c r="E216" t="s">
        <v>795</v>
      </c>
      <c r="F216" s="4" t="s">
        <v>30</v>
      </c>
      <c r="G216" s="4" t="str">
        <f>IFERROR(VLOOKUP(C216,'Registre maintenance'!B:F,2,FALSE),"Non trouvé")</f>
        <v>Sud-Ubangi</v>
      </c>
      <c r="H216">
        <f>IFERROR(VLOOKUP(C216,'Registre maintenance'!B:F,3,FALSE),"Non trouvé")</f>
        <v>-12.342053999999999</v>
      </c>
      <c r="I216">
        <f>IFERROR(VLOOKUP(C216,'Registre maintenance'!B:F,4,FALSE),"Non trouvé")</f>
        <v>18.756862000000002</v>
      </c>
      <c r="J216" t="str">
        <f>IFERROR(VLOOKUP(C216,'Registre maintenance'!B:F,5,FALSE),"Non trouvé")</f>
        <v>3G</v>
      </c>
      <c r="K216" t="str">
        <f t="shared" si="31"/>
        <v>OK</v>
      </c>
    </row>
    <row r="217" spans="1:11" x14ac:dyDescent="0.3">
      <c r="A217" t="s">
        <v>883</v>
      </c>
      <c r="B217" s="1">
        <v>45221.095833333333</v>
      </c>
      <c r="C217" t="s">
        <v>913</v>
      </c>
      <c r="D217">
        <v>113</v>
      </c>
      <c r="E217" t="s">
        <v>797</v>
      </c>
      <c r="F217" s="4" t="str">
        <f t="shared" ref="F217:F220" si="35">F216</f>
        <v>Sud-Ubangi</v>
      </c>
      <c r="G217" s="4" t="str">
        <f>IFERROR(VLOOKUP(C217,'Registre maintenance'!B:F,2,FALSE),"Non trouvé")</f>
        <v>Non trouvé</v>
      </c>
      <c r="H217" t="str">
        <f>IFERROR(VLOOKUP(C217,'Registre maintenance'!B:F,3,FALSE),"Non trouvé")</f>
        <v>Non trouvé</v>
      </c>
      <c r="I217" t="str">
        <f>IFERROR(VLOOKUP(C217,'Registre maintenance'!B:F,4,FALSE),"Non trouvé")</f>
        <v>Non trouvé</v>
      </c>
      <c r="J217" t="str">
        <f>IFERROR(VLOOKUP(C217,'Registre maintenance'!B:F,5,FALSE),"Non trouvé")</f>
        <v>Non trouvé</v>
      </c>
      <c r="K217" t="str">
        <f t="shared" si="31"/>
        <v>Mismatch</v>
      </c>
    </row>
    <row r="218" spans="1:11" x14ac:dyDescent="0.3">
      <c r="A218" t="s">
        <v>962</v>
      </c>
      <c r="B218" s="1">
        <v>45209.588194444441</v>
      </c>
      <c r="C218" t="s">
        <v>913</v>
      </c>
      <c r="D218">
        <v>41</v>
      </c>
      <c r="E218" t="s">
        <v>795</v>
      </c>
      <c r="F218" s="4" t="str">
        <f t="shared" si="35"/>
        <v>Sud-Ubangi</v>
      </c>
      <c r="G218" s="4" t="str">
        <f>IFERROR(VLOOKUP(C218,'Registre maintenance'!B:F,2,FALSE),"Non trouvé")</f>
        <v>Non trouvé</v>
      </c>
      <c r="H218" t="str">
        <f>IFERROR(VLOOKUP(C218,'Registre maintenance'!B:F,3,FALSE),"Non trouvé")</f>
        <v>Non trouvé</v>
      </c>
      <c r="I218" t="str">
        <f>IFERROR(VLOOKUP(C218,'Registre maintenance'!B:F,4,FALSE),"Non trouvé")</f>
        <v>Non trouvé</v>
      </c>
      <c r="J218" t="str">
        <f>IFERROR(VLOOKUP(C218,'Registre maintenance'!B:F,5,FALSE),"Non trouvé")</f>
        <v>Non trouvé</v>
      </c>
      <c r="K218" t="str">
        <f t="shared" si="31"/>
        <v>Mismatch</v>
      </c>
    </row>
    <row r="219" spans="1:11" x14ac:dyDescent="0.3">
      <c r="A219" t="s">
        <v>883</v>
      </c>
      <c r="B219" s="1">
        <v>45226.321527777778</v>
      </c>
      <c r="C219" t="s">
        <v>916</v>
      </c>
      <c r="D219">
        <v>22</v>
      </c>
      <c r="E219" t="s">
        <v>797</v>
      </c>
      <c r="F219" s="4" t="str">
        <f t="shared" si="35"/>
        <v>Sud-Ubangi</v>
      </c>
      <c r="G219" s="4" t="str">
        <f>IFERROR(VLOOKUP(C219,'Registre maintenance'!B:F,2,FALSE),"Non trouvé")</f>
        <v>Non trouvé</v>
      </c>
      <c r="H219" t="str">
        <f>IFERROR(VLOOKUP(C219,'Registre maintenance'!B:F,3,FALSE),"Non trouvé")</f>
        <v>Non trouvé</v>
      </c>
      <c r="I219" t="str">
        <f>IFERROR(VLOOKUP(C219,'Registre maintenance'!B:F,4,FALSE),"Non trouvé")</f>
        <v>Non trouvé</v>
      </c>
      <c r="J219" t="str">
        <f>IFERROR(VLOOKUP(C219,'Registre maintenance'!B:F,5,FALSE),"Non trouvé")</f>
        <v>Non trouvé</v>
      </c>
      <c r="K219" t="str">
        <f t="shared" si="31"/>
        <v>Mismatch</v>
      </c>
    </row>
    <row r="220" spans="1:11" x14ac:dyDescent="0.3">
      <c r="A220" t="s">
        <v>1038</v>
      </c>
      <c r="B220" s="1">
        <v>45201.511805555558</v>
      </c>
      <c r="C220" t="s">
        <v>916</v>
      </c>
      <c r="D220">
        <v>62</v>
      </c>
      <c r="E220" t="s">
        <v>795</v>
      </c>
      <c r="F220" s="4" t="str">
        <f t="shared" si="35"/>
        <v>Sud-Ubangi</v>
      </c>
      <c r="G220" s="4" t="str">
        <f>IFERROR(VLOOKUP(C220,'Registre maintenance'!B:F,2,FALSE),"Non trouvé")</f>
        <v>Non trouvé</v>
      </c>
      <c r="H220" t="str">
        <f>IFERROR(VLOOKUP(C220,'Registre maintenance'!B:F,3,FALSE),"Non trouvé")</f>
        <v>Non trouvé</v>
      </c>
      <c r="I220" t="str">
        <f>IFERROR(VLOOKUP(C220,'Registre maintenance'!B:F,4,FALSE),"Non trouvé")</f>
        <v>Non trouvé</v>
      </c>
      <c r="J220" t="str">
        <f>IFERROR(VLOOKUP(C220,'Registre maintenance'!B:F,5,FALSE),"Non trouvé")</f>
        <v>Non trouvé</v>
      </c>
      <c r="K220" t="str">
        <f t="shared" si="31"/>
        <v>Mismatch</v>
      </c>
    </row>
    <row r="221" spans="1:11" x14ac:dyDescent="0.3">
      <c r="A221" t="s">
        <v>883</v>
      </c>
      <c r="B221" s="1">
        <v>45201.3125</v>
      </c>
      <c r="C221" t="s">
        <v>919</v>
      </c>
      <c r="D221">
        <v>90</v>
      </c>
      <c r="E221" t="s">
        <v>795</v>
      </c>
      <c r="F221" s="4" t="s">
        <v>56</v>
      </c>
      <c r="G221" s="4" t="str">
        <f>IFERROR(VLOOKUP(C221,'Registre maintenance'!B:F,2,FALSE),"Non trouvé")</f>
        <v>Kasai-Oriental</v>
      </c>
      <c r="H221">
        <f>IFERROR(VLOOKUP(C221,'Registre maintenance'!B:F,3,FALSE),"Non trouvé")</f>
        <v>-12.333232000000001</v>
      </c>
      <c r="I221">
        <f>IFERROR(VLOOKUP(C221,'Registre maintenance'!B:F,4,FALSE),"Non trouvé")</f>
        <v>25.229620000000001</v>
      </c>
      <c r="J221" t="str">
        <f>IFERROR(VLOOKUP(C221,'Registre maintenance'!B:F,5,FALSE),"Non trouvé")</f>
        <v>5G</v>
      </c>
      <c r="K221" t="str">
        <f t="shared" si="31"/>
        <v>OK</v>
      </c>
    </row>
    <row r="222" spans="1:11" x14ac:dyDescent="0.3">
      <c r="A222" t="s">
        <v>883</v>
      </c>
      <c r="B222" s="1">
        <v>45219.103472222218</v>
      </c>
      <c r="C222" t="s">
        <v>920</v>
      </c>
      <c r="D222">
        <v>72</v>
      </c>
      <c r="E222" t="s">
        <v>795</v>
      </c>
      <c r="F222" s="4" t="s">
        <v>66</v>
      </c>
      <c r="G222" s="4" t="str">
        <f>IFERROR(VLOOKUP(C222,'Registre maintenance'!B:F,2,FALSE),"Non trouvé")</f>
        <v>Lomami</v>
      </c>
      <c r="H222">
        <f>IFERROR(VLOOKUP(C222,'Registre maintenance'!B:F,3,FALSE),"Non trouvé")</f>
        <v>-5.7035130000000001</v>
      </c>
      <c r="I222">
        <f>IFERROR(VLOOKUP(C222,'Registre maintenance'!B:F,4,FALSE),"Non trouvé")</f>
        <v>14.331479</v>
      </c>
      <c r="J222" t="str">
        <f>IFERROR(VLOOKUP(C222,'Registre maintenance'!B:F,5,FALSE),"Non trouvé")</f>
        <v>5G</v>
      </c>
      <c r="K222" t="str">
        <f t="shared" si="31"/>
        <v>OK</v>
      </c>
    </row>
    <row r="223" spans="1:11" x14ac:dyDescent="0.3">
      <c r="A223" t="s">
        <v>921</v>
      </c>
      <c r="B223" s="1">
        <v>45200.51458333333</v>
      </c>
      <c r="C223" t="s">
        <v>922</v>
      </c>
      <c r="D223">
        <v>24</v>
      </c>
      <c r="E223" t="s">
        <v>797</v>
      </c>
      <c r="F223" s="4" t="str">
        <f t="shared" ref="F223:F226" si="36">F222</f>
        <v>Lomami</v>
      </c>
      <c r="G223" s="4" t="str">
        <f>IFERROR(VLOOKUP(C223,'Registre maintenance'!B:F,2,FALSE),"Non trouvé")</f>
        <v>Non trouvé</v>
      </c>
      <c r="H223" t="str">
        <f>IFERROR(VLOOKUP(C223,'Registre maintenance'!B:F,3,FALSE),"Non trouvé")</f>
        <v>Non trouvé</v>
      </c>
      <c r="I223" t="str">
        <f>IFERROR(VLOOKUP(C223,'Registre maintenance'!B:F,4,FALSE),"Non trouvé")</f>
        <v>Non trouvé</v>
      </c>
      <c r="J223" t="str">
        <f>IFERROR(VLOOKUP(C223,'Registre maintenance'!B:F,5,FALSE),"Non trouvé")</f>
        <v>Non trouvé</v>
      </c>
      <c r="K223" t="str">
        <f t="shared" si="31"/>
        <v>Mismatch</v>
      </c>
    </row>
    <row r="224" spans="1:11" x14ac:dyDescent="0.3">
      <c r="A224" t="s">
        <v>921</v>
      </c>
      <c r="B224" s="1">
        <v>45221.910416666673</v>
      </c>
      <c r="C224" t="s">
        <v>923</v>
      </c>
      <c r="D224">
        <v>60</v>
      </c>
      <c r="E224" t="s">
        <v>795</v>
      </c>
      <c r="F224" s="4" t="str">
        <f t="shared" si="36"/>
        <v>Lomami</v>
      </c>
      <c r="G224" s="4" t="str">
        <f>IFERROR(VLOOKUP(C224,'Registre maintenance'!B:F,2,FALSE),"Non trouvé")</f>
        <v>Non trouvé</v>
      </c>
      <c r="H224" t="str">
        <f>IFERROR(VLOOKUP(C224,'Registre maintenance'!B:F,3,FALSE),"Non trouvé")</f>
        <v>Non trouvé</v>
      </c>
      <c r="I224" t="str">
        <f>IFERROR(VLOOKUP(C224,'Registre maintenance'!B:F,4,FALSE),"Non trouvé")</f>
        <v>Non trouvé</v>
      </c>
      <c r="J224" t="str">
        <f>IFERROR(VLOOKUP(C224,'Registre maintenance'!B:F,5,FALSE),"Non trouvé")</f>
        <v>Non trouvé</v>
      </c>
      <c r="K224" t="str">
        <f t="shared" si="31"/>
        <v>Mismatch</v>
      </c>
    </row>
    <row r="225" spans="1:11" x14ac:dyDescent="0.3">
      <c r="A225" t="s">
        <v>921</v>
      </c>
      <c r="B225" s="1">
        <v>45204.81527777778</v>
      </c>
      <c r="C225" t="s">
        <v>923</v>
      </c>
      <c r="D225">
        <v>71</v>
      </c>
      <c r="E225" t="s">
        <v>797</v>
      </c>
      <c r="F225" s="4" t="str">
        <f t="shared" si="36"/>
        <v>Lomami</v>
      </c>
      <c r="G225" s="4" t="str">
        <f>IFERROR(VLOOKUP(C225,'Registre maintenance'!B:F,2,FALSE),"Non trouvé")</f>
        <v>Non trouvé</v>
      </c>
      <c r="H225" t="str">
        <f>IFERROR(VLOOKUP(C225,'Registre maintenance'!B:F,3,FALSE),"Non trouvé")</f>
        <v>Non trouvé</v>
      </c>
      <c r="I225" t="str">
        <f>IFERROR(VLOOKUP(C225,'Registre maintenance'!B:F,4,FALSE),"Non trouvé")</f>
        <v>Non trouvé</v>
      </c>
      <c r="J225" t="str">
        <f>IFERROR(VLOOKUP(C225,'Registre maintenance'!B:F,5,FALSE),"Non trouvé")</f>
        <v>Non trouvé</v>
      </c>
      <c r="K225" t="str">
        <f t="shared" si="31"/>
        <v>Mismatch</v>
      </c>
    </row>
    <row r="226" spans="1:11" x14ac:dyDescent="0.3">
      <c r="A226" t="s">
        <v>962</v>
      </c>
      <c r="B226" s="1">
        <v>45209.824305555558</v>
      </c>
      <c r="C226" t="s">
        <v>923</v>
      </c>
      <c r="D226">
        <v>93</v>
      </c>
      <c r="E226" t="s">
        <v>797</v>
      </c>
      <c r="F226" s="4" t="str">
        <f t="shared" si="36"/>
        <v>Lomami</v>
      </c>
      <c r="G226" s="4" t="str">
        <f>IFERROR(VLOOKUP(C226,'Registre maintenance'!B:F,2,FALSE),"Non trouvé")</f>
        <v>Non trouvé</v>
      </c>
      <c r="H226" t="str">
        <f>IFERROR(VLOOKUP(C226,'Registre maintenance'!B:F,3,FALSE),"Non trouvé")</f>
        <v>Non trouvé</v>
      </c>
      <c r="I226" t="str">
        <f>IFERROR(VLOOKUP(C226,'Registre maintenance'!B:F,4,FALSE),"Non trouvé")</f>
        <v>Non trouvé</v>
      </c>
      <c r="J226" t="str">
        <f>IFERROR(VLOOKUP(C226,'Registre maintenance'!B:F,5,FALSE),"Non trouvé")</f>
        <v>Non trouvé</v>
      </c>
      <c r="K226" t="str">
        <f t="shared" si="31"/>
        <v>Mismatch</v>
      </c>
    </row>
    <row r="227" spans="1:11" x14ac:dyDescent="0.3">
      <c r="A227" t="s">
        <v>921</v>
      </c>
      <c r="B227" s="1">
        <v>45212.965277777781</v>
      </c>
      <c r="C227" t="s">
        <v>924</v>
      </c>
      <c r="D227">
        <v>27</v>
      </c>
      <c r="E227" t="s">
        <v>797</v>
      </c>
      <c r="F227" s="4" t="s">
        <v>61</v>
      </c>
      <c r="G227" s="4" t="str">
        <f>IFERROR(VLOOKUP(C227,'Registre maintenance'!B:F,2,FALSE),"Non trouvé")</f>
        <v>Kongo-Central</v>
      </c>
      <c r="H227">
        <f>IFERROR(VLOOKUP(C227,'Registre maintenance'!B:F,3,FALSE),"Non trouvé")</f>
        <v>0.79124300000000003</v>
      </c>
      <c r="I227">
        <f>IFERROR(VLOOKUP(C227,'Registre maintenance'!B:F,4,FALSE),"Non trouvé")</f>
        <v>25.273389000000002</v>
      </c>
      <c r="J227" t="str">
        <f>IFERROR(VLOOKUP(C227,'Registre maintenance'!B:F,5,FALSE),"Non trouvé")</f>
        <v>4G</v>
      </c>
      <c r="K227" t="str">
        <f t="shared" si="31"/>
        <v>OK</v>
      </c>
    </row>
    <row r="228" spans="1:11" x14ac:dyDescent="0.3">
      <c r="A228" t="s">
        <v>921</v>
      </c>
      <c r="B228" s="1">
        <v>45226.623611111107</v>
      </c>
      <c r="C228" t="s">
        <v>925</v>
      </c>
      <c r="D228">
        <v>98</v>
      </c>
      <c r="E228" t="s">
        <v>797</v>
      </c>
      <c r="F228" s="4" t="s">
        <v>87</v>
      </c>
      <c r="G228" s="4" t="str">
        <f>IFERROR(VLOOKUP(C228,'Registre maintenance'!B:F,2,FALSE),"Non trouvé")</f>
        <v>Nord-Ubangi</v>
      </c>
      <c r="H228">
        <f>IFERROR(VLOOKUP(C228,'Registre maintenance'!B:F,3,FALSE),"Non trouvé")</f>
        <v>-7.9987219999999999</v>
      </c>
      <c r="I228">
        <f>IFERROR(VLOOKUP(C228,'Registre maintenance'!B:F,4,FALSE),"Non trouvé")</f>
        <v>12.779335</v>
      </c>
      <c r="J228" t="str">
        <f>IFERROR(VLOOKUP(C228,'Registre maintenance'!B:F,5,FALSE),"Non trouvé")</f>
        <v>5G</v>
      </c>
      <c r="K228" t="str">
        <f t="shared" si="31"/>
        <v>OK</v>
      </c>
    </row>
    <row r="229" spans="1:11" x14ac:dyDescent="0.3">
      <c r="A229" t="s">
        <v>1038</v>
      </c>
      <c r="B229" s="1">
        <v>45225.317361111112</v>
      </c>
      <c r="C229" t="s">
        <v>925</v>
      </c>
      <c r="D229">
        <v>56</v>
      </c>
      <c r="E229" t="s">
        <v>795</v>
      </c>
      <c r="F229" s="4" t="s">
        <v>87</v>
      </c>
      <c r="G229" s="4" t="str">
        <f>IFERROR(VLOOKUP(C229,'Registre maintenance'!B:F,2,FALSE),"Non trouvé")</f>
        <v>Nord-Ubangi</v>
      </c>
      <c r="H229">
        <f>IFERROR(VLOOKUP(C229,'Registre maintenance'!B:F,3,FALSE),"Non trouvé")</f>
        <v>-7.9987219999999999</v>
      </c>
      <c r="I229">
        <f>IFERROR(VLOOKUP(C229,'Registre maintenance'!B:F,4,FALSE),"Non trouvé")</f>
        <v>12.779335</v>
      </c>
      <c r="J229" t="str">
        <f>IFERROR(VLOOKUP(C229,'Registre maintenance'!B:F,5,FALSE),"Non trouvé")</f>
        <v>5G</v>
      </c>
      <c r="K229" t="str">
        <f t="shared" si="31"/>
        <v>OK</v>
      </c>
    </row>
    <row r="230" spans="1:11" x14ac:dyDescent="0.3">
      <c r="A230" t="s">
        <v>921</v>
      </c>
      <c r="B230" s="1">
        <v>45200.525694444441</v>
      </c>
      <c r="C230" t="s">
        <v>926</v>
      </c>
      <c r="D230">
        <v>88</v>
      </c>
      <c r="E230" t="s">
        <v>797</v>
      </c>
      <c r="F230" s="4" t="s">
        <v>63</v>
      </c>
      <c r="G230" s="4" t="str">
        <f>IFERROR(VLOOKUP(C230,'Registre maintenance'!B:F,2,FALSE),"Non trouvé")</f>
        <v>Kinshasa</v>
      </c>
      <c r="H230">
        <f>IFERROR(VLOOKUP(C230,'Registre maintenance'!B:F,3,FALSE),"Non trouvé")</f>
        <v>-1.6097570000000001</v>
      </c>
      <c r="I230">
        <f>IFERROR(VLOOKUP(C230,'Registre maintenance'!B:F,4,FALSE),"Non trouvé")</f>
        <v>30.661662</v>
      </c>
      <c r="J230" t="str">
        <f>IFERROR(VLOOKUP(C230,'Registre maintenance'!B:F,5,FALSE),"Non trouvé")</f>
        <v>4G</v>
      </c>
      <c r="K230" t="str">
        <f t="shared" si="31"/>
        <v>OK</v>
      </c>
    </row>
    <row r="231" spans="1:11" x14ac:dyDescent="0.3">
      <c r="A231" t="s">
        <v>999</v>
      </c>
      <c r="B231" s="1">
        <v>45228.001388888893</v>
      </c>
      <c r="C231" t="s">
        <v>1024</v>
      </c>
      <c r="D231">
        <v>100</v>
      </c>
      <c r="E231" t="s">
        <v>795</v>
      </c>
      <c r="F231" s="4" t="s">
        <v>20</v>
      </c>
      <c r="G231" s="4" t="str">
        <f>IFERROR(VLOOKUP(C231,'Registre maintenance'!B:F,2,FALSE),"Non trouvé")</f>
        <v>Sud-Kivu</v>
      </c>
      <c r="H231">
        <f>IFERROR(VLOOKUP(C231,'Registre maintenance'!B:F,3,FALSE),"Non trouvé")</f>
        <v>-9.3900009999999998</v>
      </c>
      <c r="I231">
        <f>IFERROR(VLOOKUP(C231,'Registre maintenance'!B:F,4,FALSE),"Non trouvé")</f>
        <v>30.001517</v>
      </c>
      <c r="J231" t="str">
        <f>IFERROR(VLOOKUP(C231,'Registre maintenance'!B:F,5,FALSE),"Non trouvé")</f>
        <v>3G</v>
      </c>
      <c r="K231" t="str">
        <f t="shared" si="31"/>
        <v>OK</v>
      </c>
    </row>
    <row r="232" spans="1:11" x14ac:dyDescent="0.3">
      <c r="A232" t="s">
        <v>921</v>
      </c>
      <c r="B232" s="1">
        <v>45218.875694444447</v>
      </c>
      <c r="C232" t="s">
        <v>927</v>
      </c>
      <c r="D232">
        <v>39</v>
      </c>
      <c r="E232" t="s">
        <v>792</v>
      </c>
      <c r="F232" s="4" t="str">
        <f t="shared" ref="F232:F237" si="37">F231</f>
        <v>Sud-Kivu</v>
      </c>
      <c r="G232" s="4" t="str">
        <f>IFERROR(VLOOKUP(C232,'Registre maintenance'!B:F,2,FALSE),"Non trouvé")</f>
        <v>Non trouvé</v>
      </c>
      <c r="H232" t="str">
        <f>IFERROR(VLOOKUP(C232,'Registre maintenance'!B:F,3,FALSE),"Non trouvé")</f>
        <v>Non trouvé</v>
      </c>
      <c r="I232" t="str">
        <f>IFERROR(VLOOKUP(C232,'Registre maintenance'!B:F,4,FALSE),"Non trouvé")</f>
        <v>Non trouvé</v>
      </c>
      <c r="J232" t="str">
        <f>IFERROR(VLOOKUP(C232,'Registre maintenance'!B:F,5,FALSE),"Non trouvé")</f>
        <v>Non trouvé</v>
      </c>
      <c r="K232" t="str">
        <f t="shared" si="31"/>
        <v>Mismatch</v>
      </c>
    </row>
    <row r="233" spans="1:11" x14ac:dyDescent="0.3">
      <c r="A233" t="s">
        <v>921</v>
      </c>
      <c r="B233" s="1">
        <v>45201.35</v>
      </c>
      <c r="C233" t="s">
        <v>930</v>
      </c>
      <c r="D233">
        <v>73</v>
      </c>
      <c r="E233" t="s">
        <v>792</v>
      </c>
      <c r="F233" s="4" t="str">
        <f t="shared" si="37"/>
        <v>Sud-Kivu</v>
      </c>
      <c r="G233" s="4" t="str">
        <f>IFERROR(VLOOKUP(C233,'Registre maintenance'!B:F,2,FALSE),"Non trouvé")</f>
        <v>Non trouvé</v>
      </c>
      <c r="H233" t="str">
        <f>IFERROR(VLOOKUP(C233,'Registre maintenance'!B:F,3,FALSE),"Non trouvé")</f>
        <v>Non trouvé</v>
      </c>
      <c r="I233" t="str">
        <f>IFERROR(VLOOKUP(C233,'Registre maintenance'!B:F,4,FALSE),"Non trouvé")</f>
        <v>Non trouvé</v>
      </c>
      <c r="J233" t="str">
        <f>IFERROR(VLOOKUP(C233,'Registre maintenance'!B:F,5,FALSE),"Non trouvé")</f>
        <v>Non trouvé</v>
      </c>
      <c r="K233" t="str">
        <f t="shared" si="31"/>
        <v>Mismatch</v>
      </c>
    </row>
    <row r="234" spans="1:11" x14ac:dyDescent="0.3">
      <c r="A234" t="s">
        <v>1059</v>
      </c>
      <c r="B234" s="1">
        <v>45217.818749999999</v>
      </c>
      <c r="C234" t="s">
        <v>930</v>
      </c>
      <c r="D234">
        <v>100</v>
      </c>
      <c r="E234" t="s">
        <v>792</v>
      </c>
      <c r="F234" s="4" t="str">
        <f t="shared" si="37"/>
        <v>Sud-Kivu</v>
      </c>
      <c r="G234" s="4" t="str">
        <f>IFERROR(VLOOKUP(C234,'Registre maintenance'!B:F,2,FALSE),"Non trouvé")</f>
        <v>Non trouvé</v>
      </c>
      <c r="H234" t="str">
        <f>IFERROR(VLOOKUP(C234,'Registre maintenance'!B:F,3,FALSE),"Non trouvé")</f>
        <v>Non trouvé</v>
      </c>
      <c r="I234" t="str">
        <f>IFERROR(VLOOKUP(C234,'Registre maintenance'!B:F,4,FALSE),"Non trouvé")</f>
        <v>Non trouvé</v>
      </c>
      <c r="J234" t="str">
        <f>IFERROR(VLOOKUP(C234,'Registre maintenance'!B:F,5,FALSE),"Non trouvé")</f>
        <v>Non trouvé</v>
      </c>
      <c r="K234" t="str">
        <f t="shared" si="31"/>
        <v>Mismatch</v>
      </c>
    </row>
    <row r="235" spans="1:11" x14ac:dyDescent="0.3">
      <c r="A235" t="s">
        <v>921</v>
      </c>
      <c r="B235" s="1">
        <v>45210.270138888889</v>
      </c>
      <c r="C235" t="s">
        <v>931</v>
      </c>
      <c r="D235">
        <v>104</v>
      </c>
      <c r="E235" t="s">
        <v>797</v>
      </c>
      <c r="F235" s="4" t="str">
        <f t="shared" si="37"/>
        <v>Sud-Kivu</v>
      </c>
      <c r="G235" s="4" t="str">
        <f>IFERROR(VLOOKUP(C235,'Registre maintenance'!B:F,2,FALSE),"Non trouvé")</f>
        <v>Non trouvé</v>
      </c>
      <c r="H235" t="str">
        <f>IFERROR(VLOOKUP(C235,'Registre maintenance'!B:F,3,FALSE),"Non trouvé")</f>
        <v>Non trouvé</v>
      </c>
      <c r="I235" t="str">
        <f>IFERROR(VLOOKUP(C235,'Registre maintenance'!B:F,4,FALSE),"Non trouvé")</f>
        <v>Non trouvé</v>
      </c>
      <c r="J235" t="str">
        <f>IFERROR(VLOOKUP(C235,'Registre maintenance'!B:F,5,FALSE),"Non trouvé")</f>
        <v>Non trouvé</v>
      </c>
      <c r="K235" t="str">
        <f t="shared" si="31"/>
        <v>Mismatch</v>
      </c>
    </row>
    <row r="236" spans="1:11" x14ac:dyDescent="0.3">
      <c r="A236" t="s">
        <v>921</v>
      </c>
      <c r="B236" s="1">
        <v>45228.511805555558</v>
      </c>
      <c r="C236" t="s">
        <v>933</v>
      </c>
      <c r="D236">
        <v>64</v>
      </c>
      <c r="E236" t="s">
        <v>795</v>
      </c>
      <c r="F236" s="4" t="str">
        <f t="shared" si="37"/>
        <v>Sud-Kivu</v>
      </c>
      <c r="G236" s="4" t="str">
        <f>IFERROR(VLOOKUP(C236,'Registre maintenance'!B:F,2,FALSE),"Non trouvé")</f>
        <v>Non trouvé</v>
      </c>
      <c r="H236" t="str">
        <f>IFERROR(VLOOKUP(C236,'Registre maintenance'!B:F,3,FALSE),"Non trouvé")</f>
        <v>Non trouvé</v>
      </c>
      <c r="I236" t="str">
        <f>IFERROR(VLOOKUP(C236,'Registre maintenance'!B:F,4,FALSE),"Non trouvé")</f>
        <v>Non trouvé</v>
      </c>
      <c r="J236" t="str">
        <f>IFERROR(VLOOKUP(C236,'Registre maintenance'!B:F,5,FALSE),"Non trouvé")</f>
        <v>Non trouvé</v>
      </c>
      <c r="K236" t="str">
        <f t="shared" si="31"/>
        <v>Mismatch</v>
      </c>
    </row>
    <row r="237" spans="1:11" x14ac:dyDescent="0.3">
      <c r="A237" t="s">
        <v>921</v>
      </c>
      <c r="B237" s="1">
        <v>45226.104166666657</v>
      </c>
      <c r="C237" t="s">
        <v>935</v>
      </c>
      <c r="D237">
        <v>110</v>
      </c>
      <c r="E237" t="s">
        <v>795</v>
      </c>
      <c r="F237" s="4" t="str">
        <f t="shared" si="37"/>
        <v>Sud-Kivu</v>
      </c>
      <c r="G237" s="4" t="str">
        <f>IFERROR(VLOOKUP(C237,'Registre maintenance'!B:F,2,FALSE),"Non trouvé")</f>
        <v>Non trouvé</v>
      </c>
      <c r="H237" t="str">
        <f>IFERROR(VLOOKUP(C237,'Registre maintenance'!B:F,3,FALSE),"Non trouvé")</f>
        <v>Non trouvé</v>
      </c>
      <c r="I237" t="str">
        <f>IFERROR(VLOOKUP(C237,'Registre maintenance'!B:F,4,FALSE),"Non trouvé")</f>
        <v>Non trouvé</v>
      </c>
      <c r="J237" t="str">
        <f>IFERROR(VLOOKUP(C237,'Registre maintenance'!B:F,5,FALSE),"Non trouvé")</f>
        <v>Non trouvé</v>
      </c>
      <c r="K237" t="str">
        <f t="shared" si="31"/>
        <v>Mismatch</v>
      </c>
    </row>
    <row r="238" spans="1:11" x14ac:dyDescent="0.3">
      <c r="A238" t="s">
        <v>999</v>
      </c>
      <c r="B238" s="1">
        <v>45221.313194444447</v>
      </c>
      <c r="C238" t="s">
        <v>1030</v>
      </c>
      <c r="D238">
        <v>34</v>
      </c>
      <c r="E238" t="s">
        <v>795</v>
      </c>
      <c r="F238" s="4" t="s">
        <v>28</v>
      </c>
      <c r="G238" s="4" t="str">
        <f>IFERROR(VLOOKUP(C238,'Registre maintenance'!B:F,2,FALSE),"Non trouvé")</f>
        <v>Kasai</v>
      </c>
      <c r="H238">
        <f>IFERROR(VLOOKUP(C238,'Registre maintenance'!B:F,3,FALSE),"Non trouvé")</f>
        <v>-10.165072</v>
      </c>
      <c r="I238">
        <f>IFERROR(VLOOKUP(C238,'Registre maintenance'!B:F,4,FALSE),"Non trouvé")</f>
        <v>29.428024000000001</v>
      </c>
      <c r="J238" t="str">
        <f>IFERROR(VLOOKUP(C238,'Registre maintenance'!B:F,5,FALSE),"Non trouvé")</f>
        <v>5G</v>
      </c>
      <c r="K238" t="str">
        <f t="shared" si="31"/>
        <v>OK</v>
      </c>
    </row>
    <row r="239" spans="1:11" x14ac:dyDescent="0.3">
      <c r="A239" t="s">
        <v>999</v>
      </c>
      <c r="B239" s="1">
        <v>45225.622916666667</v>
      </c>
      <c r="C239" t="s">
        <v>1030</v>
      </c>
      <c r="D239">
        <v>86</v>
      </c>
      <c r="E239" t="s">
        <v>792</v>
      </c>
      <c r="F239" s="4" t="s">
        <v>28</v>
      </c>
      <c r="G239" s="4" t="str">
        <f>IFERROR(VLOOKUP(C239,'Registre maintenance'!B:F,2,FALSE),"Non trouvé")</f>
        <v>Kasai</v>
      </c>
      <c r="H239">
        <f>IFERROR(VLOOKUP(C239,'Registre maintenance'!B:F,3,FALSE),"Non trouvé")</f>
        <v>-10.165072</v>
      </c>
      <c r="I239">
        <f>IFERROR(VLOOKUP(C239,'Registre maintenance'!B:F,4,FALSE),"Non trouvé")</f>
        <v>29.428024000000001</v>
      </c>
      <c r="J239" t="str">
        <f>IFERROR(VLOOKUP(C239,'Registre maintenance'!B:F,5,FALSE),"Non trouvé")</f>
        <v>5G</v>
      </c>
      <c r="K239" t="str">
        <f t="shared" si="31"/>
        <v>OK</v>
      </c>
    </row>
    <row r="240" spans="1:11" x14ac:dyDescent="0.3">
      <c r="A240" t="s">
        <v>921</v>
      </c>
      <c r="B240" s="1">
        <v>45201.468055555553</v>
      </c>
      <c r="C240" t="s">
        <v>936</v>
      </c>
      <c r="D240">
        <v>80</v>
      </c>
      <c r="E240" t="s">
        <v>792</v>
      </c>
      <c r="F240" s="4" t="s">
        <v>23</v>
      </c>
      <c r="G240" s="4" t="str">
        <f>IFERROR(VLOOKUP(C240,'Registre maintenance'!B:F,2,FALSE),"Non trouvé")</f>
        <v>Haut-Katanga</v>
      </c>
      <c r="H240">
        <f>IFERROR(VLOOKUP(C240,'Registre maintenance'!B:F,3,FALSE),"Non trouvé")</f>
        <v>-3.3890790000000002</v>
      </c>
      <c r="I240">
        <f>IFERROR(VLOOKUP(C240,'Registre maintenance'!B:F,4,FALSE),"Non trouvé")</f>
        <v>18.374571</v>
      </c>
      <c r="J240" t="str">
        <f>IFERROR(VLOOKUP(C240,'Registre maintenance'!B:F,5,FALSE),"Non trouvé")</f>
        <v>5G</v>
      </c>
      <c r="K240" t="str">
        <f t="shared" si="31"/>
        <v>OK</v>
      </c>
    </row>
    <row r="241" spans="1:11" x14ac:dyDescent="0.3">
      <c r="A241" t="s">
        <v>921</v>
      </c>
      <c r="B241" s="1">
        <v>45220.117361111108</v>
      </c>
      <c r="C241" t="s">
        <v>937</v>
      </c>
      <c r="D241">
        <v>39</v>
      </c>
      <c r="E241" t="s">
        <v>792</v>
      </c>
      <c r="F241" s="4" t="str">
        <f>F240</f>
        <v>Haut-Katanga</v>
      </c>
      <c r="G241" s="4" t="str">
        <f>IFERROR(VLOOKUP(C241,'Registre maintenance'!B:F,2,FALSE),"Non trouvé")</f>
        <v>Non trouvé</v>
      </c>
      <c r="H241" t="str">
        <f>IFERROR(VLOOKUP(C241,'Registre maintenance'!B:F,3,FALSE),"Non trouvé")</f>
        <v>Non trouvé</v>
      </c>
      <c r="I241" t="str">
        <f>IFERROR(VLOOKUP(C241,'Registre maintenance'!B:F,4,FALSE),"Non trouvé")</f>
        <v>Non trouvé</v>
      </c>
      <c r="J241" t="str">
        <f>IFERROR(VLOOKUP(C241,'Registre maintenance'!B:F,5,FALSE),"Non trouvé")</f>
        <v>Non trouvé</v>
      </c>
      <c r="K241" t="str">
        <f t="shared" si="31"/>
        <v>Mismatch</v>
      </c>
    </row>
    <row r="242" spans="1:11" x14ac:dyDescent="0.3">
      <c r="A242" t="s">
        <v>921</v>
      </c>
      <c r="B242" s="1">
        <v>45206.027083333327</v>
      </c>
      <c r="C242" t="s">
        <v>938</v>
      </c>
      <c r="D242">
        <v>36</v>
      </c>
      <c r="E242" t="s">
        <v>797</v>
      </c>
      <c r="F242" s="4" t="s">
        <v>32</v>
      </c>
      <c r="G242" s="4" t="str">
        <f>IFERROR(VLOOKUP(C242,'Registre maintenance'!B:F,2,FALSE),"Non trouvé")</f>
        <v>Kasai-Central</v>
      </c>
      <c r="H242">
        <f>IFERROR(VLOOKUP(C242,'Registre maintenance'!B:F,3,FALSE),"Non trouvé")</f>
        <v>-3.111418</v>
      </c>
      <c r="I242">
        <f>IFERROR(VLOOKUP(C242,'Registre maintenance'!B:F,4,FALSE),"Non trouvé")</f>
        <v>14.144854</v>
      </c>
      <c r="J242" t="str">
        <f>IFERROR(VLOOKUP(C242,'Registre maintenance'!B:F,5,FALSE),"Non trouvé")</f>
        <v>4G</v>
      </c>
      <c r="K242" t="str">
        <f t="shared" si="31"/>
        <v>OK</v>
      </c>
    </row>
    <row r="243" spans="1:11" x14ac:dyDescent="0.3">
      <c r="A243" t="s">
        <v>921</v>
      </c>
      <c r="B243" s="1">
        <v>45204.297222222223</v>
      </c>
      <c r="C243" t="s">
        <v>939</v>
      </c>
      <c r="D243">
        <v>111</v>
      </c>
      <c r="E243" t="s">
        <v>795</v>
      </c>
      <c r="F243" s="4" t="s">
        <v>87</v>
      </c>
      <c r="G243" s="4" t="str">
        <f>IFERROR(VLOOKUP(C243,'Registre maintenance'!B:F,2,FALSE),"Non trouvé")</f>
        <v>Nord-Ubangi</v>
      </c>
      <c r="H243">
        <f>IFERROR(VLOOKUP(C243,'Registre maintenance'!B:F,3,FALSE),"Non trouvé")</f>
        <v>-1.342476</v>
      </c>
      <c r="I243">
        <f>IFERROR(VLOOKUP(C243,'Registre maintenance'!B:F,4,FALSE),"Non trouvé")</f>
        <v>15.986086</v>
      </c>
      <c r="J243" t="str">
        <f>IFERROR(VLOOKUP(C243,'Registre maintenance'!B:F,5,FALSE),"Non trouvé")</f>
        <v>4G</v>
      </c>
      <c r="K243" t="str">
        <f t="shared" si="31"/>
        <v>OK</v>
      </c>
    </row>
    <row r="244" spans="1:11" x14ac:dyDescent="0.3">
      <c r="A244" t="s">
        <v>999</v>
      </c>
      <c r="B244" s="1">
        <v>45227.587500000001</v>
      </c>
      <c r="C244" t="s">
        <v>939</v>
      </c>
      <c r="D244">
        <v>50</v>
      </c>
      <c r="E244" t="s">
        <v>795</v>
      </c>
      <c r="F244" s="4" t="s">
        <v>87</v>
      </c>
      <c r="G244" s="4" t="str">
        <f>IFERROR(VLOOKUP(C244,'Registre maintenance'!B:F,2,FALSE),"Non trouvé")</f>
        <v>Nord-Ubangi</v>
      </c>
      <c r="H244">
        <f>IFERROR(VLOOKUP(C244,'Registre maintenance'!B:F,3,FALSE),"Non trouvé")</f>
        <v>-1.342476</v>
      </c>
      <c r="I244">
        <f>IFERROR(VLOOKUP(C244,'Registre maintenance'!B:F,4,FALSE),"Non trouvé")</f>
        <v>15.986086</v>
      </c>
      <c r="J244" t="str">
        <f>IFERROR(VLOOKUP(C244,'Registre maintenance'!B:F,5,FALSE),"Non trouvé")</f>
        <v>4G</v>
      </c>
      <c r="K244" t="str">
        <f t="shared" si="31"/>
        <v>OK</v>
      </c>
    </row>
    <row r="245" spans="1:11" x14ac:dyDescent="0.3">
      <c r="A245" t="s">
        <v>921</v>
      </c>
      <c r="B245" s="1">
        <v>45215.879861111112</v>
      </c>
      <c r="C245" t="s">
        <v>940</v>
      </c>
      <c r="D245">
        <v>16</v>
      </c>
      <c r="E245" t="s">
        <v>795</v>
      </c>
      <c r="F245" s="4" t="str">
        <f t="shared" ref="F245:F249" si="38">F244</f>
        <v>Nord-Ubangi</v>
      </c>
      <c r="G245" s="4" t="str">
        <f>IFERROR(VLOOKUP(C245,'Registre maintenance'!B:F,2,FALSE),"Non trouvé")</f>
        <v>Non trouvé</v>
      </c>
      <c r="H245" t="str">
        <f>IFERROR(VLOOKUP(C245,'Registre maintenance'!B:F,3,FALSE),"Non trouvé")</f>
        <v>Non trouvé</v>
      </c>
      <c r="I245" t="str">
        <f>IFERROR(VLOOKUP(C245,'Registre maintenance'!B:F,4,FALSE),"Non trouvé")</f>
        <v>Non trouvé</v>
      </c>
      <c r="J245" t="str">
        <f>IFERROR(VLOOKUP(C245,'Registre maintenance'!B:F,5,FALSE),"Non trouvé")</f>
        <v>Non trouvé</v>
      </c>
      <c r="K245" t="str">
        <f t="shared" si="31"/>
        <v>Mismatch</v>
      </c>
    </row>
    <row r="246" spans="1:11" x14ac:dyDescent="0.3">
      <c r="A246" t="s">
        <v>1084</v>
      </c>
      <c r="B246" s="1">
        <v>45216.459027777782</v>
      </c>
      <c r="C246" t="s">
        <v>940</v>
      </c>
      <c r="D246">
        <v>100</v>
      </c>
      <c r="E246" t="s">
        <v>795</v>
      </c>
      <c r="F246" s="4" t="str">
        <f t="shared" si="38"/>
        <v>Nord-Ubangi</v>
      </c>
      <c r="G246" s="4" t="str">
        <f>IFERROR(VLOOKUP(C246,'Registre maintenance'!B:F,2,FALSE),"Non trouvé")</f>
        <v>Non trouvé</v>
      </c>
      <c r="H246" t="str">
        <f>IFERROR(VLOOKUP(C246,'Registre maintenance'!B:F,3,FALSE),"Non trouvé")</f>
        <v>Non trouvé</v>
      </c>
      <c r="I246" t="str">
        <f>IFERROR(VLOOKUP(C246,'Registre maintenance'!B:F,4,FALSE),"Non trouvé")</f>
        <v>Non trouvé</v>
      </c>
      <c r="J246" t="str">
        <f>IFERROR(VLOOKUP(C246,'Registre maintenance'!B:F,5,FALSE),"Non trouvé")</f>
        <v>Non trouvé</v>
      </c>
      <c r="K246" t="str">
        <f t="shared" si="31"/>
        <v>Mismatch</v>
      </c>
    </row>
    <row r="247" spans="1:11" x14ac:dyDescent="0.3">
      <c r="A247" t="s">
        <v>921</v>
      </c>
      <c r="B247" s="1">
        <v>45218.270138888889</v>
      </c>
      <c r="C247" t="s">
        <v>941</v>
      </c>
      <c r="D247">
        <v>40</v>
      </c>
      <c r="E247" t="s">
        <v>795</v>
      </c>
      <c r="F247" s="4" t="str">
        <f t="shared" si="38"/>
        <v>Nord-Ubangi</v>
      </c>
      <c r="G247" s="4" t="str">
        <f>IFERROR(VLOOKUP(C247,'Registre maintenance'!B:F,2,FALSE),"Non trouvé")</f>
        <v>Non trouvé</v>
      </c>
      <c r="H247" t="str">
        <f>IFERROR(VLOOKUP(C247,'Registre maintenance'!B:F,3,FALSE),"Non trouvé")</f>
        <v>Non trouvé</v>
      </c>
      <c r="I247" t="str">
        <f>IFERROR(VLOOKUP(C247,'Registre maintenance'!B:F,4,FALSE),"Non trouvé")</f>
        <v>Non trouvé</v>
      </c>
      <c r="J247" t="str">
        <f>IFERROR(VLOOKUP(C247,'Registre maintenance'!B:F,5,FALSE),"Non trouvé")</f>
        <v>Non trouvé</v>
      </c>
      <c r="K247" t="str">
        <f t="shared" si="31"/>
        <v>Mismatch</v>
      </c>
    </row>
    <row r="248" spans="1:11" x14ac:dyDescent="0.3">
      <c r="A248" t="s">
        <v>1038</v>
      </c>
      <c r="B248" s="1">
        <v>45212.599305555559</v>
      </c>
      <c r="C248" t="s">
        <v>941</v>
      </c>
      <c r="D248">
        <v>58</v>
      </c>
      <c r="E248" t="s">
        <v>795</v>
      </c>
      <c r="F248" s="4" t="str">
        <f t="shared" si="38"/>
        <v>Nord-Ubangi</v>
      </c>
      <c r="G248" s="4" t="str">
        <f>IFERROR(VLOOKUP(C248,'Registre maintenance'!B:F,2,FALSE),"Non trouvé")</f>
        <v>Non trouvé</v>
      </c>
      <c r="H248" t="str">
        <f>IFERROR(VLOOKUP(C248,'Registre maintenance'!B:F,3,FALSE),"Non trouvé")</f>
        <v>Non trouvé</v>
      </c>
      <c r="I248" t="str">
        <f>IFERROR(VLOOKUP(C248,'Registre maintenance'!B:F,4,FALSE),"Non trouvé")</f>
        <v>Non trouvé</v>
      </c>
      <c r="J248" t="str">
        <f>IFERROR(VLOOKUP(C248,'Registre maintenance'!B:F,5,FALSE),"Non trouvé")</f>
        <v>Non trouvé</v>
      </c>
      <c r="K248" t="str">
        <f t="shared" si="31"/>
        <v>Mismatch</v>
      </c>
    </row>
    <row r="249" spans="1:11" x14ac:dyDescent="0.3">
      <c r="A249" t="s">
        <v>921</v>
      </c>
      <c r="B249" s="1">
        <v>45222.367361111108</v>
      </c>
      <c r="C249" t="s">
        <v>942</v>
      </c>
      <c r="D249">
        <v>117</v>
      </c>
      <c r="E249" t="s">
        <v>795</v>
      </c>
      <c r="F249" s="4" t="str">
        <f t="shared" si="38"/>
        <v>Nord-Ubangi</v>
      </c>
      <c r="G249" s="4" t="str">
        <f>IFERROR(VLOOKUP(C249,'Registre maintenance'!B:F,2,FALSE),"Non trouvé")</f>
        <v>Non trouvé</v>
      </c>
      <c r="H249" t="str">
        <f>IFERROR(VLOOKUP(C249,'Registre maintenance'!B:F,3,FALSE),"Non trouvé")</f>
        <v>Non trouvé</v>
      </c>
      <c r="I249" t="str">
        <f>IFERROR(VLOOKUP(C249,'Registre maintenance'!B:F,4,FALSE),"Non trouvé")</f>
        <v>Non trouvé</v>
      </c>
      <c r="J249" t="str">
        <f>IFERROR(VLOOKUP(C249,'Registre maintenance'!B:F,5,FALSE),"Non trouvé")</f>
        <v>Non trouvé</v>
      </c>
      <c r="K249" t="str">
        <f t="shared" si="31"/>
        <v>Mismatch</v>
      </c>
    </row>
    <row r="250" spans="1:11" x14ac:dyDescent="0.3">
      <c r="A250" t="s">
        <v>921</v>
      </c>
      <c r="B250" s="1">
        <v>45203.22152777778</v>
      </c>
      <c r="C250" t="s">
        <v>945</v>
      </c>
      <c r="D250">
        <v>101</v>
      </c>
      <c r="E250" t="s">
        <v>792</v>
      </c>
      <c r="F250" s="4" t="s">
        <v>72</v>
      </c>
      <c r="G250" s="4" t="str">
        <f>IFERROR(VLOOKUP(C250,'Registre maintenance'!B:F,2,FALSE),"Non trouvé")</f>
        <v>Tshopo</v>
      </c>
      <c r="H250">
        <f>IFERROR(VLOOKUP(C250,'Registre maintenance'!B:F,3,FALSE),"Non trouvé")</f>
        <v>3.0603760000000002</v>
      </c>
      <c r="I250">
        <f>IFERROR(VLOOKUP(C250,'Registre maintenance'!B:F,4,FALSE),"Non trouvé")</f>
        <v>19.708034000000001</v>
      </c>
      <c r="J250" t="str">
        <f>IFERROR(VLOOKUP(C250,'Registre maintenance'!B:F,5,FALSE),"Non trouvé")</f>
        <v>3G</v>
      </c>
      <c r="K250" t="str">
        <f t="shared" si="31"/>
        <v>OK</v>
      </c>
    </row>
    <row r="251" spans="1:11" x14ac:dyDescent="0.3">
      <c r="A251" t="s">
        <v>921</v>
      </c>
      <c r="B251" s="1">
        <v>45219.989583333343</v>
      </c>
      <c r="C251" t="s">
        <v>944</v>
      </c>
      <c r="D251">
        <v>36</v>
      </c>
      <c r="E251" t="s">
        <v>792</v>
      </c>
      <c r="F251" s="4" t="str">
        <f t="shared" ref="F251:F255" si="39">F250</f>
        <v>Tshopo</v>
      </c>
      <c r="G251" s="4" t="str">
        <f>IFERROR(VLOOKUP(C251,'Registre maintenance'!B:F,2,FALSE),"Non trouvé")</f>
        <v>Non trouvé</v>
      </c>
      <c r="H251" t="str">
        <f>IFERROR(VLOOKUP(C251,'Registre maintenance'!B:F,3,FALSE),"Non trouvé")</f>
        <v>Non trouvé</v>
      </c>
      <c r="I251" t="str">
        <f>IFERROR(VLOOKUP(C251,'Registre maintenance'!B:F,4,FALSE),"Non trouvé")</f>
        <v>Non trouvé</v>
      </c>
      <c r="J251" t="str">
        <f>IFERROR(VLOOKUP(C251,'Registre maintenance'!B:F,5,FALSE),"Non trouvé")</f>
        <v>Non trouvé</v>
      </c>
      <c r="K251" t="str">
        <f t="shared" si="31"/>
        <v>Mismatch</v>
      </c>
    </row>
    <row r="252" spans="1:11" x14ac:dyDescent="0.3">
      <c r="A252" t="s">
        <v>921</v>
      </c>
      <c r="B252" s="1">
        <v>45203.750694444447</v>
      </c>
      <c r="C252" t="s">
        <v>946</v>
      </c>
      <c r="D252">
        <v>64</v>
      </c>
      <c r="E252" t="s">
        <v>797</v>
      </c>
      <c r="F252" s="4" t="str">
        <f t="shared" si="39"/>
        <v>Tshopo</v>
      </c>
      <c r="G252" s="4" t="str">
        <f>IFERROR(VLOOKUP(C252,'Registre maintenance'!B:F,2,FALSE),"Non trouvé")</f>
        <v>Non trouvé</v>
      </c>
      <c r="H252" t="str">
        <f>IFERROR(VLOOKUP(C252,'Registre maintenance'!B:F,3,FALSE),"Non trouvé")</f>
        <v>Non trouvé</v>
      </c>
      <c r="I252" t="str">
        <f>IFERROR(VLOOKUP(C252,'Registre maintenance'!B:F,4,FALSE),"Non trouvé")</f>
        <v>Non trouvé</v>
      </c>
      <c r="J252" t="str">
        <f>IFERROR(VLOOKUP(C252,'Registre maintenance'!B:F,5,FALSE),"Non trouvé")</f>
        <v>Non trouvé</v>
      </c>
      <c r="K252" t="str">
        <f t="shared" si="31"/>
        <v>Mismatch</v>
      </c>
    </row>
    <row r="253" spans="1:11" x14ac:dyDescent="0.3">
      <c r="A253" t="s">
        <v>1038</v>
      </c>
      <c r="B253" s="1">
        <v>45224.201388888891</v>
      </c>
      <c r="C253" t="s">
        <v>946</v>
      </c>
      <c r="D253">
        <v>43</v>
      </c>
      <c r="E253" t="s">
        <v>797</v>
      </c>
      <c r="F253" s="4" t="str">
        <f t="shared" si="39"/>
        <v>Tshopo</v>
      </c>
      <c r="G253" s="4" t="str">
        <f>IFERROR(VLOOKUP(C253,'Registre maintenance'!B:F,2,FALSE),"Non trouvé")</f>
        <v>Non trouvé</v>
      </c>
      <c r="H253" t="str">
        <f>IFERROR(VLOOKUP(C253,'Registre maintenance'!B:F,3,FALSE),"Non trouvé")</f>
        <v>Non trouvé</v>
      </c>
      <c r="I253" t="str">
        <f>IFERROR(VLOOKUP(C253,'Registre maintenance'!B:F,4,FALSE),"Non trouvé")</f>
        <v>Non trouvé</v>
      </c>
      <c r="J253" t="str">
        <f>IFERROR(VLOOKUP(C253,'Registre maintenance'!B:F,5,FALSE),"Non trouvé")</f>
        <v>Non trouvé</v>
      </c>
      <c r="K253" t="str">
        <f t="shared" si="31"/>
        <v>Mismatch</v>
      </c>
    </row>
    <row r="254" spans="1:11" x14ac:dyDescent="0.3">
      <c r="A254" t="s">
        <v>921</v>
      </c>
      <c r="B254" s="1">
        <v>45229.4</v>
      </c>
      <c r="C254" t="s">
        <v>947</v>
      </c>
      <c r="D254">
        <v>77</v>
      </c>
      <c r="E254" t="s">
        <v>792</v>
      </c>
      <c r="F254" s="4" t="str">
        <f t="shared" si="39"/>
        <v>Tshopo</v>
      </c>
      <c r="G254" s="4" t="str">
        <f>IFERROR(VLOOKUP(C254,'Registre maintenance'!B:F,2,FALSE),"Non trouvé")</f>
        <v>Non trouvé</v>
      </c>
      <c r="H254" t="str">
        <f>IFERROR(VLOOKUP(C254,'Registre maintenance'!B:F,3,FALSE),"Non trouvé")</f>
        <v>Non trouvé</v>
      </c>
      <c r="I254" t="str">
        <f>IFERROR(VLOOKUP(C254,'Registre maintenance'!B:F,4,FALSE),"Non trouvé")</f>
        <v>Non trouvé</v>
      </c>
      <c r="J254" t="str">
        <f>IFERROR(VLOOKUP(C254,'Registre maintenance'!B:F,5,FALSE),"Non trouvé")</f>
        <v>Non trouvé</v>
      </c>
      <c r="K254" t="str">
        <f t="shared" si="31"/>
        <v>Mismatch</v>
      </c>
    </row>
    <row r="255" spans="1:11" x14ac:dyDescent="0.3">
      <c r="A255" t="s">
        <v>1059</v>
      </c>
      <c r="B255" s="1">
        <v>45224.671527777777</v>
      </c>
      <c r="C255" t="s">
        <v>947</v>
      </c>
      <c r="D255">
        <v>14</v>
      </c>
      <c r="E255" t="s">
        <v>797</v>
      </c>
      <c r="F255" s="4" t="str">
        <f t="shared" si="39"/>
        <v>Tshopo</v>
      </c>
      <c r="G255" s="4" t="str">
        <f>IFERROR(VLOOKUP(C255,'Registre maintenance'!B:F,2,FALSE),"Non trouvé")</f>
        <v>Non trouvé</v>
      </c>
      <c r="H255" t="str">
        <f>IFERROR(VLOOKUP(C255,'Registre maintenance'!B:F,3,FALSE),"Non trouvé")</f>
        <v>Non trouvé</v>
      </c>
      <c r="I255" t="str">
        <f>IFERROR(VLOOKUP(C255,'Registre maintenance'!B:F,4,FALSE),"Non trouvé")</f>
        <v>Non trouvé</v>
      </c>
      <c r="J255" t="str">
        <f>IFERROR(VLOOKUP(C255,'Registre maintenance'!B:F,5,FALSE),"Non trouvé")</f>
        <v>Non trouvé</v>
      </c>
      <c r="K255" t="str">
        <f t="shared" si="31"/>
        <v>Mismatch</v>
      </c>
    </row>
    <row r="256" spans="1:11" x14ac:dyDescent="0.3">
      <c r="A256" t="s">
        <v>962</v>
      </c>
      <c r="B256" s="1">
        <v>45224.568055555559</v>
      </c>
      <c r="C256" t="s">
        <v>971</v>
      </c>
      <c r="D256">
        <v>27</v>
      </c>
      <c r="E256" t="s">
        <v>792</v>
      </c>
      <c r="F256" s="4" t="s">
        <v>43</v>
      </c>
      <c r="G256" s="4" t="str">
        <f>IFERROR(VLOOKUP(C256,'Registre maintenance'!B:F,2,FALSE),"Non trouvé")</f>
        <v>Mai-Ndombe</v>
      </c>
      <c r="H256">
        <f>IFERROR(VLOOKUP(C256,'Registre maintenance'!B:F,3,FALSE),"Non trouvé")</f>
        <v>-10.442425</v>
      </c>
      <c r="I256">
        <f>IFERROR(VLOOKUP(C256,'Registre maintenance'!B:F,4,FALSE),"Non trouvé")</f>
        <v>23.243632000000002</v>
      </c>
      <c r="J256" t="str">
        <f>IFERROR(VLOOKUP(C256,'Registre maintenance'!B:F,5,FALSE),"Non trouvé")</f>
        <v>4G</v>
      </c>
      <c r="K256" t="str">
        <f t="shared" si="31"/>
        <v>OK</v>
      </c>
    </row>
    <row r="257" spans="1:11" x14ac:dyDescent="0.3">
      <c r="A257" t="s">
        <v>921</v>
      </c>
      <c r="B257" s="1">
        <v>45230.925000000003</v>
      </c>
      <c r="C257" t="s">
        <v>949</v>
      </c>
      <c r="D257">
        <v>90</v>
      </c>
      <c r="E257" t="s">
        <v>792</v>
      </c>
      <c r="F257" s="4" t="str">
        <f>F256</f>
        <v>Mai-Ndombe</v>
      </c>
      <c r="G257" s="4" t="str">
        <f>IFERROR(VLOOKUP(C257,'Registre maintenance'!B:F,2,FALSE),"Non trouvé")</f>
        <v>Non trouvé</v>
      </c>
      <c r="H257" t="str">
        <f>IFERROR(VLOOKUP(C257,'Registre maintenance'!B:F,3,FALSE),"Non trouvé")</f>
        <v>Non trouvé</v>
      </c>
      <c r="I257" t="str">
        <f>IFERROR(VLOOKUP(C257,'Registre maintenance'!B:F,4,FALSE),"Non trouvé")</f>
        <v>Non trouvé</v>
      </c>
      <c r="J257" t="str">
        <f>IFERROR(VLOOKUP(C257,'Registre maintenance'!B:F,5,FALSE),"Non trouvé")</f>
        <v>Non trouvé</v>
      </c>
      <c r="K257" t="str">
        <f t="shared" si="31"/>
        <v>Mismatch</v>
      </c>
    </row>
    <row r="258" spans="1:11" x14ac:dyDescent="0.3">
      <c r="A258" t="s">
        <v>1084</v>
      </c>
      <c r="B258" s="1">
        <v>45206.443055555559</v>
      </c>
      <c r="C258" t="s">
        <v>1092</v>
      </c>
      <c r="D258">
        <v>48</v>
      </c>
      <c r="E258" t="s">
        <v>797</v>
      </c>
      <c r="F258" s="4" t="s">
        <v>17</v>
      </c>
      <c r="G258" s="4" t="str">
        <f>IFERROR(VLOOKUP(C258,'Registre maintenance'!B:F,2,FALSE),"Non trouvé")</f>
        <v>Haut-Lomami</v>
      </c>
      <c r="H258">
        <f>IFERROR(VLOOKUP(C258,'Registre maintenance'!B:F,3,FALSE),"Non trouvé")</f>
        <v>0.16327700000000001</v>
      </c>
      <c r="I258">
        <f>IFERROR(VLOOKUP(C258,'Registre maintenance'!B:F,4,FALSE),"Non trouvé")</f>
        <v>14.871577</v>
      </c>
      <c r="J258" t="str">
        <f>IFERROR(VLOOKUP(C258,'Registre maintenance'!B:F,5,FALSE),"Non trouvé")</f>
        <v>4G</v>
      </c>
      <c r="K258" t="str">
        <f t="shared" ref="K258:K321" si="40">IF(F258=G258,"OK","Mismatch")</f>
        <v>OK</v>
      </c>
    </row>
    <row r="259" spans="1:11" x14ac:dyDescent="0.3">
      <c r="A259" t="s">
        <v>921</v>
      </c>
      <c r="B259" s="1">
        <v>45226.84375</v>
      </c>
      <c r="C259" t="s">
        <v>951</v>
      </c>
      <c r="D259">
        <v>48</v>
      </c>
      <c r="E259" t="s">
        <v>792</v>
      </c>
      <c r="F259" s="4" t="str">
        <f t="shared" ref="F259:F263" si="41">F258</f>
        <v>Haut-Lomami</v>
      </c>
      <c r="G259" s="4" t="str">
        <f>IFERROR(VLOOKUP(C259,'Registre maintenance'!B:F,2,FALSE),"Non trouvé")</f>
        <v>Non trouvé</v>
      </c>
      <c r="H259" t="str">
        <f>IFERROR(VLOOKUP(C259,'Registre maintenance'!B:F,3,FALSE),"Non trouvé")</f>
        <v>Non trouvé</v>
      </c>
      <c r="I259" t="str">
        <f>IFERROR(VLOOKUP(C259,'Registre maintenance'!B:F,4,FALSE),"Non trouvé")</f>
        <v>Non trouvé</v>
      </c>
      <c r="J259" t="str">
        <f>IFERROR(VLOOKUP(C259,'Registre maintenance'!B:F,5,FALSE),"Non trouvé")</f>
        <v>Non trouvé</v>
      </c>
      <c r="K259" t="str">
        <f t="shared" si="40"/>
        <v>Mismatch</v>
      </c>
    </row>
    <row r="260" spans="1:11" x14ac:dyDescent="0.3">
      <c r="A260" t="s">
        <v>921</v>
      </c>
      <c r="B260" s="1">
        <v>45203.950694444437</v>
      </c>
      <c r="C260" t="s">
        <v>952</v>
      </c>
      <c r="D260">
        <v>8</v>
      </c>
      <c r="E260" t="s">
        <v>795</v>
      </c>
      <c r="F260" s="4" t="str">
        <f t="shared" si="41"/>
        <v>Haut-Lomami</v>
      </c>
      <c r="G260" s="4" t="str">
        <f>IFERROR(VLOOKUP(C260,'Registre maintenance'!B:F,2,FALSE),"Non trouvé")</f>
        <v>Non trouvé</v>
      </c>
      <c r="H260" t="str">
        <f>IFERROR(VLOOKUP(C260,'Registre maintenance'!B:F,3,FALSE),"Non trouvé")</f>
        <v>Non trouvé</v>
      </c>
      <c r="I260" t="str">
        <f>IFERROR(VLOOKUP(C260,'Registre maintenance'!B:F,4,FALSE),"Non trouvé")</f>
        <v>Non trouvé</v>
      </c>
      <c r="J260" t="str">
        <f>IFERROR(VLOOKUP(C260,'Registre maintenance'!B:F,5,FALSE),"Non trouvé")</f>
        <v>Non trouvé</v>
      </c>
      <c r="K260" t="str">
        <f t="shared" si="40"/>
        <v>Mismatch</v>
      </c>
    </row>
    <row r="261" spans="1:11" x14ac:dyDescent="0.3">
      <c r="A261" t="s">
        <v>921</v>
      </c>
      <c r="B261" s="1">
        <v>45225.159722222219</v>
      </c>
      <c r="C261" t="s">
        <v>954</v>
      </c>
      <c r="D261">
        <v>113</v>
      </c>
      <c r="E261" t="s">
        <v>792</v>
      </c>
      <c r="F261" s="4" t="str">
        <f t="shared" si="41"/>
        <v>Haut-Lomami</v>
      </c>
      <c r="G261" s="4" t="str">
        <f>IFERROR(VLOOKUP(C261,'Registre maintenance'!B:F,2,FALSE),"Non trouvé")</f>
        <v>Non trouvé</v>
      </c>
      <c r="H261" t="str">
        <f>IFERROR(VLOOKUP(C261,'Registre maintenance'!B:F,3,FALSE),"Non trouvé")</f>
        <v>Non trouvé</v>
      </c>
      <c r="I261" t="str">
        <f>IFERROR(VLOOKUP(C261,'Registre maintenance'!B:F,4,FALSE),"Non trouvé")</f>
        <v>Non trouvé</v>
      </c>
      <c r="J261" t="str">
        <f>IFERROR(VLOOKUP(C261,'Registre maintenance'!B:F,5,FALSE),"Non trouvé")</f>
        <v>Non trouvé</v>
      </c>
      <c r="K261" t="str">
        <f t="shared" si="40"/>
        <v>Mismatch</v>
      </c>
    </row>
    <row r="262" spans="1:11" x14ac:dyDescent="0.3">
      <c r="A262" t="s">
        <v>921</v>
      </c>
      <c r="B262" s="1">
        <v>45218.056944444441</v>
      </c>
      <c r="C262" t="s">
        <v>955</v>
      </c>
      <c r="D262">
        <v>46</v>
      </c>
      <c r="E262" t="s">
        <v>797</v>
      </c>
      <c r="F262" s="4" t="str">
        <f t="shared" si="41"/>
        <v>Haut-Lomami</v>
      </c>
      <c r="G262" s="4" t="str">
        <f>IFERROR(VLOOKUP(C262,'Registre maintenance'!B:F,2,FALSE),"Non trouvé")</f>
        <v>Non trouvé</v>
      </c>
      <c r="H262" t="str">
        <f>IFERROR(VLOOKUP(C262,'Registre maintenance'!B:F,3,FALSE),"Non trouvé")</f>
        <v>Non trouvé</v>
      </c>
      <c r="I262" t="str">
        <f>IFERROR(VLOOKUP(C262,'Registre maintenance'!B:F,4,FALSE),"Non trouvé")</f>
        <v>Non trouvé</v>
      </c>
      <c r="J262" t="str">
        <f>IFERROR(VLOOKUP(C262,'Registre maintenance'!B:F,5,FALSE),"Non trouvé")</f>
        <v>Non trouvé</v>
      </c>
      <c r="K262" t="str">
        <f t="shared" si="40"/>
        <v>Mismatch</v>
      </c>
    </row>
    <row r="263" spans="1:11" x14ac:dyDescent="0.3">
      <c r="A263" t="s">
        <v>921</v>
      </c>
      <c r="B263" s="1">
        <v>45217.570833333331</v>
      </c>
      <c r="C263" t="s">
        <v>956</v>
      </c>
      <c r="D263">
        <v>28</v>
      </c>
      <c r="E263" t="s">
        <v>792</v>
      </c>
      <c r="F263" s="4" t="str">
        <f t="shared" si="41"/>
        <v>Haut-Lomami</v>
      </c>
      <c r="G263" s="4" t="str">
        <f>IFERROR(VLOOKUP(C263,'Registre maintenance'!B:F,2,FALSE),"Non trouvé")</f>
        <v>Non trouvé</v>
      </c>
      <c r="H263" t="str">
        <f>IFERROR(VLOOKUP(C263,'Registre maintenance'!B:F,3,FALSE),"Non trouvé")</f>
        <v>Non trouvé</v>
      </c>
      <c r="I263" t="str">
        <f>IFERROR(VLOOKUP(C263,'Registre maintenance'!B:F,4,FALSE),"Non trouvé")</f>
        <v>Non trouvé</v>
      </c>
      <c r="J263" t="str">
        <f>IFERROR(VLOOKUP(C263,'Registre maintenance'!B:F,5,FALSE),"Non trouvé")</f>
        <v>Non trouvé</v>
      </c>
      <c r="K263" t="str">
        <f t="shared" si="40"/>
        <v>Mismatch</v>
      </c>
    </row>
    <row r="264" spans="1:11" x14ac:dyDescent="0.3">
      <c r="A264" t="s">
        <v>921</v>
      </c>
      <c r="B264" s="1">
        <v>45220.416666666657</v>
      </c>
      <c r="C264" t="s">
        <v>957</v>
      </c>
      <c r="D264">
        <v>32</v>
      </c>
      <c r="E264" t="s">
        <v>795</v>
      </c>
      <c r="F264" s="4" t="s">
        <v>63</v>
      </c>
      <c r="G264" s="4" t="str">
        <f>IFERROR(VLOOKUP(C264,'Registre maintenance'!B:F,2,FALSE),"Non trouvé")</f>
        <v>Kinshasa</v>
      </c>
      <c r="H264">
        <f>IFERROR(VLOOKUP(C264,'Registre maintenance'!B:F,3,FALSE),"Non trouvé")</f>
        <v>-11.991020000000001</v>
      </c>
      <c r="I264">
        <f>IFERROR(VLOOKUP(C264,'Registre maintenance'!B:F,4,FALSE),"Non trouvé")</f>
        <v>22.514747</v>
      </c>
      <c r="J264" t="str">
        <f>IFERROR(VLOOKUP(C264,'Registre maintenance'!B:F,5,FALSE),"Non trouvé")</f>
        <v>5G</v>
      </c>
      <c r="K264" t="str">
        <f t="shared" si="40"/>
        <v>OK</v>
      </c>
    </row>
    <row r="265" spans="1:11" x14ac:dyDescent="0.3">
      <c r="A265" t="s">
        <v>921</v>
      </c>
      <c r="B265" s="1">
        <v>45227.577777777777</v>
      </c>
      <c r="C265" t="s">
        <v>958</v>
      </c>
      <c r="D265">
        <v>50</v>
      </c>
      <c r="E265" t="s">
        <v>797</v>
      </c>
      <c r="F265" s="4" t="s">
        <v>72</v>
      </c>
      <c r="G265" s="4" t="str">
        <f>IFERROR(VLOOKUP(C265,'Registre maintenance'!B:F,2,FALSE),"Non trouvé")</f>
        <v>Tshopo</v>
      </c>
      <c r="H265">
        <f>IFERROR(VLOOKUP(C265,'Registre maintenance'!B:F,3,FALSE),"Non trouvé")</f>
        <v>-4.5603610000000003</v>
      </c>
      <c r="I265">
        <f>IFERROR(VLOOKUP(C265,'Registre maintenance'!B:F,4,FALSE),"Non trouvé")</f>
        <v>24.113918999999999</v>
      </c>
      <c r="J265" t="str">
        <f>IFERROR(VLOOKUP(C265,'Registre maintenance'!B:F,5,FALSE),"Non trouvé")</f>
        <v>5G</v>
      </c>
      <c r="K265" t="str">
        <f t="shared" si="40"/>
        <v>OK</v>
      </c>
    </row>
    <row r="266" spans="1:11" x14ac:dyDescent="0.3">
      <c r="A266" t="s">
        <v>921</v>
      </c>
      <c r="B266" s="1">
        <v>45215.143750000003</v>
      </c>
      <c r="C266" t="s">
        <v>959</v>
      </c>
      <c r="D266">
        <v>107</v>
      </c>
      <c r="E266" t="s">
        <v>795</v>
      </c>
      <c r="F266" s="4" t="str">
        <f t="shared" ref="F266:F267" si="42">F265</f>
        <v>Tshopo</v>
      </c>
      <c r="G266" s="4" t="str">
        <f>IFERROR(VLOOKUP(C266,'Registre maintenance'!B:F,2,FALSE),"Non trouvé")</f>
        <v>Non trouvé</v>
      </c>
      <c r="H266" t="str">
        <f>IFERROR(VLOOKUP(C266,'Registre maintenance'!B:F,3,FALSE),"Non trouvé")</f>
        <v>Non trouvé</v>
      </c>
      <c r="I266" t="str">
        <f>IFERROR(VLOOKUP(C266,'Registre maintenance'!B:F,4,FALSE),"Non trouvé")</f>
        <v>Non trouvé</v>
      </c>
      <c r="J266" t="str">
        <f>IFERROR(VLOOKUP(C266,'Registre maintenance'!B:F,5,FALSE),"Non trouvé")</f>
        <v>Non trouvé</v>
      </c>
      <c r="K266" t="str">
        <f t="shared" si="40"/>
        <v>Mismatch</v>
      </c>
    </row>
    <row r="267" spans="1:11" x14ac:dyDescent="0.3">
      <c r="A267" t="s">
        <v>1059</v>
      </c>
      <c r="B267" s="1">
        <v>45215.811111111107</v>
      </c>
      <c r="C267" t="s">
        <v>959</v>
      </c>
      <c r="D267">
        <v>7</v>
      </c>
      <c r="E267" t="s">
        <v>797</v>
      </c>
      <c r="F267" s="4" t="str">
        <f t="shared" si="42"/>
        <v>Tshopo</v>
      </c>
      <c r="G267" s="4" t="str">
        <f>IFERROR(VLOOKUP(C267,'Registre maintenance'!B:F,2,FALSE),"Non trouvé")</f>
        <v>Non trouvé</v>
      </c>
      <c r="H267" t="str">
        <f>IFERROR(VLOOKUP(C267,'Registre maintenance'!B:F,3,FALSE),"Non trouvé")</f>
        <v>Non trouvé</v>
      </c>
      <c r="I267" t="str">
        <f>IFERROR(VLOOKUP(C267,'Registre maintenance'!B:F,4,FALSE),"Non trouvé")</f>
        <v>Non trouvé</v>
      </c>
      <c r="J267" t="str">
        <f>IFERROR(VLOOKUP(C267,'Registre maintenance'!B:F,5,FALSE),"Non trouvé")</f>
        <v>Non trouvé</v>
      </c>
      <c r="K267" t="str">
        <f t="shared" si="40"/>
        <v>Mismatch</v>
      </c>
    </row>
    <row r="268" spans="1:11" x14ac:dyDescent="0.3">
      <c r="A268" t="s">
        <v>1084</v>
      </c>
      <c r="B268" s="1">
        <v>45201.057638888888</v>
      </c>
      <c r="C268" t="s">
        <v>1085</v>
      </c>
      <c r="D268">
        <v>103</v>
      </c>
      <c r="E268" t="s">
        <v>792</v>
      </c>
      <c r="F268" s="4" t="s">
        <v>23</v>
      </c>
      <c r="G268" s="4" t="str">
        <f>IFERROR(VLOOKUP(C268,'Registre maintenance'!B:F,2,FALSE),"Non trouvé")</f>
        <v>Haut-Katanga</v>
      </c>
      <c r="H268">
        <f>IFERROR(VLOOKUP(C268,'Registre maintenance'!B:F,3,FALSE),"Non trouvé")</f>
        <v>-11.594525000000001</v>
      </c>
      <c r="I268">
        <f>IFERROR(VLOOKUP(C268,'Registre maintenance'!B:F,4,FALSE),"Non trouvé")</f>
        <v>29.744895</v>
      </c>
      <c r="J268" t="str">
        <f>IFERROR(VLOOKUP(C268,'Registre maintenance'!B:F,5,FALSE),"Non trouvé")</f>
        <v>3G</v>
      </c>
      <c r="K268" t="str">
        <f t="shared" si="40"/>
        <v>OK</v>
      </c>
    </row>
    <row r="269" spans="1:11" x14ac:dyDescent="0.3">
      <c r="A269" t="s">
        <v>921</v>
      </c>
      <c r="B269" s="1">
        <v>45230.486111111109</v>
      </c>
      <c r="C269" t="s">
        <v>960</v>
      </c>
      <c r="D269">
        <v>38</v>
      </c>
      <c r="E269" t="s">
        <v>792</v>
      </c>
      <c r="F269" s="4" t="s">
        <v>129</v>
      </c>
      <c r="G269" s="4" t="str">
        <f>IFERROR(VLOOKUP(C269,'Registre maintenance'!B:F,2,FALSE),"Non trouvé")</f>
        <v>Nord-Kivu</v>
      </c>
      <c r="H269">
        <f>IFERROR(VLOOKUP(C269,'Registre maintenance'!B:F,3,FALSE),"Non trouvé")</f>
        <v>-12.336202</v>
      </c>
      <c r="I269">
        <f>IFERROR(VLOOKUP(C269,'Registre maintenance'!B:F,4,FALSE),"Non trouvé")</f>
        <v>13.693683999999999</v>
      </c>
      <c r="J269" t="str">
        <f>IFERROR(VLOOKUP(C269,'Registre maintenance'!B:F,5,FALSE),"Non trouvé")</f>
        <v>5G</v>
      </c>
      <c r="K269" t="str">
        <f t="shared" si="40"/>
        <v>OK</v>
      </c>
    </row>
    <row r="270" spans="1:11" x14ac:dyDescent="0.3">
      <c r="A270" t="s">
        <v>1038</v>
      </c>
      <c r="B270" s="1">
        <v>45202.717361111107</v>
      </c>
      <c r="C270" t="s">
        <v>1053</v>
      </c>
      <c r="D270">
        <v>115</v>
      </c>
      <c r="E270" t="s">
        <v>797</v>
      </c>
      <c r="F270" s="4" t="s">
        <v>36</v>
      </c>
      <c r="G270" s="4" t="str">
        <f>IFERROR(VLOOKUP(C270,'Registre maintenance'!B:F,2,FALSE),"Non trouvé")</f>
        <v>Tanganyika</v>
      </c>
      <c r="H270">
        <f>IFERROR(VLOOKUP(C270,'Registre maintenance'!B:F,3,FALSE),"Non trouvé")</f>
        <v>-1.5936220000000001</v>
      </c>
      <c r="I270">
        <f>IFERROR(VLOOKUP(C270,'Registre maintenance'!B:F,4,FALSE),"Non trouvé")</f>
        <v>14.928856</v>
      </c>
      <c r="J270" t="str">
        <f>IFERROR(VLOOKUP(C270,'Registre maintenance'!B:F,5,FALSE),"Non trouvé")</f>
        <v>5G</v>
      </c>
      <c r="K270" t="str">
        <f t="shared" si="40"/>
        <v>OK</v>
      </c>
    </row>
    <row r="271" spans="1:11" x14ac:dyDescent="0.3">
      <c r="A271" t="s">
        <v>962</v>
      </c>
      <c r="B271" s="1">
        <v>45215.597916666673</v>
      </c>
      <c r="C271" t="s">
        <v>963</v>
      </c>
      <c r="D271">
        <v>7</v>
      </c>
      <c r="E271" t="s">
        <v>797</v>
      </c>
      <c r="F271" s="4" t="str">
        <f t="shared" ref="F271:F275" si="43">F270</f>
        <v>Tanganyika</v>
      </c>
      <c r="G271" s="4" t="str">
        <f>IFERROR(VLOOKUP(C271,'Registre maintenance'!B:F,2,FALSE),"Non trouvé")</f>
        <v>Non trouvé</v>
      </c>
      <c r="H271" t="str">
        <f>IFERROR(VLOOKUP(C271,'Registre maintenance'!B:F,3,FALSE),"Non trouvé")</f>
        <v>Non trouvé</v>
      </c>
      <c r="I271" t="str">
        <f>IFERROR(VLOOKUP(C271,'Registre maintenance'!B:F,4,FALSE),"Non trouvé")</f>
        <v>Non trouvé</v>
      </c>
      <c r="J271" t="str">
        <f>IFERROR(VLOOKUP(C271,'Registre maintenance'!B:F,5,FALSE),"Non trouvé")</f>
        <v>Non trouvé</v>
      </c>
      <c r="K271" t="str">
        <f t="shared" si="40"/>
        <v>Mismatch</v>
      </c>
    </row>
    <row r="272" spans="1:11" x14ac:dyDescent="0.3">
      <c r="A272" t="s">
        <v>962</v>
      </c>
      <c r="B272" s="1">
        <v>45230.629861111112</v>
      </c>
      <c r="C272" t="s">
        <v>964</v>
      </c>
      <c r="D272">
        <v>91</v>
      </c>
      <c r="E272" t="s">
        <v>792</v>
      </c>
      <c r="F272" s="4" t="str">
        <f t="shared" si="43"/>
        <v>Tanganyika</v>
      </c>
      <c r="G272" s="4" t="str">
        <f>IFERROR(VLOOKUP(C272,'Registre maintenance'!B:F,2,FALSE),"Non trouvé")</f>
        <v>Non trouvé</v>
      </c>
      <c r="H272" t="str">
        <f>IFERROR(VLOOKUP(C272,'Registre maintenance'!B:F,3,FALSE),"Non trouvé")</f>
        <v>Non trouvé</v>
      </c>
      <c r="I272" t="str">
        <f>IFERROR(VLOOKUP(C272,'Registre maintenance'!B:F,4,FALSE),"Non trouvé")</f>
        <v>Non trouvé</v>
      </c>
      <c r="J272" t="str">
        <f>IFERROR(VLOOKUP(C272,'Registre maintenance'!B:F,5,FALSE),"Non trouvé")</f>
        <v>Non trouvé</v>
      </c>
      <c r="K272" t="str">
        <f t="shared" si="40"/>
        <v>Mismatch</v>
      </c>
    </row>
    <row r="273" spans="1:11" x14ac:dyDescent="0.3">
      <c r="A273" t="s">
        <v>962</v>
      </c>
      <c r="B273" s="1">
        <v>45215.10833333333</v>
      </c>
      <c r="C273" t="s">
        <v>966</v>
      </c>
      <c r="D273">
        <v>39</v>
      </c>
      <c r="E273" t="s">
        <v>797</v>
      </c>
      <c r="F273" s="4" t="str">
        <f t="shared" si="43"/>
        <v>Tanganyika</v>
      </c>
      <c r="G273" s="4" t="str">
        <f>IFERROR(VLOOKUP(C273,'Registre maintenance'!B:F,2,FALSE),"Non trouvé")</f>
        <v>Non trouvé</v>
      </c>
      <c r="H273" t="str">
        <f>IFERROR(VLOOKUP(C273,'Registre maintenance'!B:F,3,FALSE),"Non trouvé")</f>
        <v>Non trouvé</v>
      </c>
      <c r="I273" t="str">
        <f>IFERROR(VLOOKUP(C273,'Registre maintenance'!B:F,4,FALSE),"Non trouvé")</f>
        <v>Non trouvé</v>
      </c>
      <c r="J273" t="str">
        <f>IFERROR(VLOOKUP(C273,'Registre maintenance'!B:F,5,FALSE),"Non trouvé")</f>
        <v>Non trouvé</v>
      </c>
      <c r="K273" t="str">
        <f t="shared" si="40"/>
        <v>Mismatch</v>
      </c>
    </row>
    <row r="274" spans="1:11" x14ac:dyDescent="0.3">
      <c r="A274" t="s">
        <v>962</v>
      </c>
      <c r="B274" s="1">
        <v>45220.877083333333</v>
      </c>
      <c r="C274" t="s">
        <v>967</v>
      </c>
      <c r="D274">
        <v>78</v>
      </c>
      <c r="E274" t="s">
        <v>792</v>
      </c>
      <c r="F274" s="4" t="str">
        <f t="shared" si="43"/>
        <v>Tanganyika</v>
      </c>
      <c r="G274" s="4" t="str">
        <f>IFERROR(VLOOKUP(C274,'Registre maintenance'!B:F,2,FALSE),"Non trouvé")</f>
        <v>Non trouvé</v>
      </c>
      <c r="H274" t="str">
        <f>IFERROR(VLOOKUP(C274,'Registre maintenance'!B:F,3,FALSE),"Non trouvé")</f>
        <v>Non trouvé</v>
      </c>
      <c r="I274" t="str">
        <f>IFERROR(VLOOKUP(C274,'Registre maintenance'!B:F,4,FALSE),"Non trouvé")</f>
        <v>Non trouvé</v>
      </c>
      <c r="J274" t="str">
        <f>IFERROR(VLOOKUP(C274,'Registre maintenance'!B:F,5,FALSE),"Non trouvé")</f>
        <v>Non trouvé</v>
      </c>
      <c r="K274" t="str">
        <f t="shared" si="40"/>
        <v>Mismatch</v>
      </c>
    </row>
    <row r="275" spans="1:11" x14ac:dyDescent="0.3">
      <c r="A275" t="s">
        <v>962</v>
      </c>
      <c r="B275" s="1">
        <v>45204.20208333333</v>
      </c>
      <c r="C275" t="s">
        <v>968</v>
      </c>
      <c r="D275">
        <v>10</v>
      </c>
      <c r="E275" t="s">
        <v>792</v>
      </c>
      <c r="F275" s="4" t="str">
        <f t="shared" si="43"/>
        <v>Tanganyika</v>
      </c>
      <c r="G275" s="4" t="str">
        <f>IFERROR(VLOOKUP(C275,'Registre maintenance'!B:F,2,FALSE),"Non trouvé")</f>
        <v>Non trouvé</v>
      </c>
      <c r="H275" t="str">
        <f>IFERROR(VLOOKUP(C275,'Registre maintenance'!B:F,3,FALSE),"Non trouvé")</f>
        <v>Non trouvé</v>
      </c>
      <c r="I275" t="str">
        <f>IFERROR(VLOOKUP(C275,'Registre maintenance'!B:F,4,FALSE),"Non trouvé")</f>
        <v>Non trouvé</v>
      </c>
      <c r="J275" t="str">
        <f>IFERROR(VLOOKUP(C275,'Registre maintenance'!B:F,5,FALSE),"Non trouvé")</f>
        <v>Non trouvé</v>
      </c>
      <c r="K275" t="str">
        <f t="shared" si="40"/>
        <v>Mismatch</v>
      </c>
    </row>
    <row r="276" spans="1:11" x14ac:dyDescent="0.3">
      <c r="A276" t="s">
        <v>962</v>
      </c>
      <c r="B276" s="1">
        <v>45207.149305555547</v>
      </c>
      <c r="C276" t="s">
        <v>970</v>
      </c>
      <c r="D276">
        <v>101</v>
      </c>
      <c r="E276" t="s">
        <v>797</v>
      </c>
      <c r="F276" s="4" t="s">
        <v>135</v>
      </c>
      <c r="G276" s="4" t="str">
        <f>IFERROR(VLOOKUP(C276,'Registre maintenance'!B:F,2,FALSE),"Non trouvé")</f>
        <v>Lualaba</v>
      </c>
      <c r="H276">
        <f>IFERROR(VLOOKUP(C276,'Registre maintenance'!B:F,3,FALSE),"Non trouvé")</f>
        <v>-10.872631999999999</v>
      </c>
      <c r="I276">
        <f>IFERROR(VLOOKUP(C276,'Registre maintenance'!B:F,4,FALSE),"Non trouvé")</f>
        <v>12.773279</v>
      </c>
      <c r="J276" t="str">
        <f>IFERROR(VLOOKUP(C276,'Registre maintenance'!B:F,5,FALSE),"Non trouvé")</f>
        <v>3G</v>
      </c>
      <c r="K276" t="str">
        <f t="shared" si="40"/>
        <v>OK</v>
      </c>
    </row>
    <row r="277" spans="1:11" x14ac:dyDescent="0.3">
      <c r="A277" t="s">
        <v>999</v>
      </c>
      <c r="B277" s="1">
        <v>45209.898611111108</v>
      </c>
      <c r="C277" t="s">
        <v>970</v>
      </c>
      <c r="D277">
        <v>29</v>
      </c>
      <c r="E277" t="s">
        <v>795</v>
      </c>
      <c r="F277" s="4" t="s">
        <v>135</v>
      </c>
      <c r="G277" s="4" t="str">
        <f>IFERROR(VLOOKUP(C277,'Registre maintenance'!B:F,2,FALSE),"Non trouvé")</f>
        <v>Lualaba</v>
      </c>
      <c r="H277">
        <f>IFERROR(VLOOKUP(C277,'Registre maintenance'!B:F,3,FALSE),"Non trouvé")</f>
        <v>-10.872631999999999</v>
      </c>
      <c r="I277">
        <f>IFERROR(VLOOKUP(C277,'Registre maintenance'!B:F,4,FALSE),"Non trouvé")</f>
        <v>12.773279</v>
      </c>
      <c r="J277" t="str">
        <f>IFERROR(VLOOKUP(C277,'Registre maintenance'!B:F,5,FALSE),"Non trouvé")</f>
        <v>3G</v>
      </c>
      <c r="K277" t="str">
        <f t="shared" si="40"/>
        <v>OK</v>
      </c>
    </row>
    <row r="278" spans="1:11" x14ac:dyDescent="0.3">
      <c r="A278" t="s">
        <v>1059</v>
      </c>
      <c r="B278" s="1">
        <v>45207.57916666667</v>
      </c>
      <c r="C278" t="s">
        <v>1065</v>
      </c>
      <c r="D278">
        <v>68</v>
      </c>
      <c r="E278" t="s">
        <v>792</v>
      </c>
      <c r="F278" s="4" t="s">
        <v>9</v>
      </c>
      <c r="G278" s="4" t="str">
        <f>IFERROR(VLOOKUP(C278,'Registre maintenance'!B:F,2,FALSE),"Non trouvé")</f>
        <v>Ituri</v>
      </c>
      <c r="H278">
        <f>IFERROR(VLOOKUP(C278,'Registre maintenance'!B:F,3,FALSE),"Non trouvé")</f>
        <v>-3.7720639999999999</v>
      </c>
      <c r="I278">
        <f>IFERROR(VLOOKUP(C278,'Registre maintenance'!B:F,4,FALSE),"Non trouvé")</f>
        <v>16.006277999999998</v>
      </c>
      <c r="J278" t="str">
        <f>IFERROR(VLOOKUP(C278,'Registre maintenance'!B:F,5,FALSE),"Non trouvé")</f>
        <v>5G</v>
      </c>
      <c r="K278" t="str">
        <f t="shared" si="40"/>
        <v>OK</v>
      </c>
    </row>
    <row r="279" spans="1:11" x14ac:dyDescent="0.3">
      <c r="A279" t="s">
        <v>1084</v>
      </c>
      <c r="B279" s="1">
        <v>45227.915277777778</v>
      </c>
      <c r="C279" t="s">
        <v>1065</v>
      </c>
      <c r="D279">
        <v>26</v>
      </c>
      <c r="E279" t="s">
        <v>795</v>
      </c>
      <c r="F279" s="4" t="s">
        <v>9</v>
      </c>
      <c r="G279" s="4" t="str">
        <f>IFERROR(VLOOKUP(C279,'Registre maintenance'!B:F,2,FALSE),"Non trouvé")</f>
        <v>Ituri</v>
      </c>
      <c r="H279">
        <f>IFERROR(VLOOKUP(C279,'Registre maintenance'!B:F,3,FALSE),"Non trouvé")</f>
        <v>-3.7720639999999999</v>
      </c>
      <c r="I279">
        <f>IFERROR(VLOOKUP(C279,'Registre maintenance'!B:F,4,FALSE),"Non trouvé")</f>
        <v>16.006277999999998</v>
      </c>
      <c r="J279" t="str">
        <f>IFERROR(VLOOKUP(C279,'Registre maintenance'!B:F,5,FALSE),"Non trouvé")</f>
        <v>5G</v>
      </c>
      <c r="K279" t="str">
        <f t="shared" si="40"/>
        <v>OK</v>
      </c>
    </row>
    <row r="280" spans="1:11" x14ac:dyDescent="0.3">
      <c r="A280" t="s">
        <v>962</v>
      </c>
      <c r="B280" s="1">
        <v>45219.801388888889</v>
      </c>
      <c r="C280" t="s">
        <v>972</v>
      </c>
      <c r="D280">
        <v>65</v>
      </c>
      <c r="E280" t="s">
        <v>795</v>
      </c>
      <c r="F280" s="4" t="str">
        <f t="shared" ref="F280:F282" si="44">F279</f>
        <v>Ituri</v>
      </c>
      <c r="G280" s="4" t="str">
        <f>IFERROR(VLOOKUP(C280,'Registre maintenance'!B:F,2,FALSE),"Non trouvé")</f>
        <v>Non trouvé</v>
      </c>
      <c r="H280" t="str">
        <f>IFERROR(VLOOKUP(C280,'Registre maintenance'!B:F,3,FALSE),"Non trouvé")</f>
        <v>Non trouvé</v>
      </c>
      <c r="I280" t="str">
        <f>IFERROR(VLOOKUP(C280,'Registre maintenance'!B:F,4,FALSE),"Non trouvé")</f>
        <v>Non trouvé</v>
      </c>
      <c r="J280" t="str">
        <f>IFERROR(VLOOKUP(C280,'Registre maintenance'!B:F,5,FALSE),"Non trouvé")</f>
        <v>Non trouvé</v>
      </c>
      <c r="K280" t="str">
        <f t="shared" si="40"/>
        <v>Mismatch</v>
      </c>
    </row>
    <row r="281" spans="1:11" x14ac:dyDescent="0.3">
      <c r="A281" t="s">
        <v>962</v>
      </c>
      <c r="B281" s="1">
        <v>45224.683333333327</v>
      </c>
      <c r="C281" t="s">
        <v>973</v>
      </c>
      <c r="D281">
        <v>71</v>
      </c>
      <c r="E281" t="s">
        <v>792</v>
      </c>
      <c r="F281" s="4" t="str">
        <f t="shared" si="44"/>
        <v>Ituri</v>
      </c>
      <c r="G281" s="4" t="str">
        <f>IFERROR(VLOOKUP(C281,'Registre maintenance'!B:F,2,FALSE),"Non trouvé")</f>
        <v>Non trouvé</v>
      </c>
      <c r="H281" t="str">
        <f>IFERROR(VLOOKUP(C281,'Registre maintenance'!B:F,3,FALSE),"Non trouvé")</f>
        <v>Non trouvé</v>
      </c>
      <c r="I281" t="str">
        <f>IFERROR(VLOOKUP(C281,'Registre maintenance'!B:F,4,FALSE),"Non trouvé")</f>
        <v>Non trouvé</v>
      </c>
      <c r="J281" t="str">
        <f>IFERROR(VLOOKUP(C281,'Registre maintenance'!B:F,5,FALSE),"Non trouvé")</f>
        <v>Non trouvé</v>
      </c>
      <c r="K281" t="str">
        <f t="shared" si="40"/>
        <v>Mismatch</v>
      </c>
    </row>
    <row r="282" spans="1:11" x14ac:dyDescent="0.3">
      <c r="A282" t="s">
        <v>1119</v>
      </c>
      <c r="B282" s="1">
        <v>45217.027777777781</v>
      </c>
      <c r="C282" t="s">
        <v>973</v>
      </c>
      <c r="D282">
        <v>54</v>
      </c>
      <c r="E282" t="s">
        <v>795</v>
      </c>
      <c r="F282" s="4" t="str">
        <f t="shared" si="44"/>
        <v>Ituri</v>
      </c>
      <c r="G282" s="4" t="str">
        <f>IFERROR(VLOOKUP(C282,'Registre maintenance'!B:F,2,FALSE),"Non trouvé")</f>
        <v>Non trouvé</v>
      </c>
      <c r="H282" t="str">
        <f>IFERROR(VLOOKUP(C282,'Registre maintenance'!B:F,3,FALSE),"Non trouvé")</f>
        <v>Non trouvé</v>
      </c>
      <c r="I282" t="str">
        <f>IFERROR(VLOOKUP(C282,'Registre maintenance'!B:F,4,FALSE),"Non trouvé")</f>
        <v>Non trouvé</v>
      </c>
      <c r="J282" t="str">
        <f>IFERROR(VLOOKUP(C282,'Registre maintenance'!B:F,5,FALSE),"Non trouvé")</f>
        <v>Non trouvé</v>
      </c>
      <c r="K282" t="str">
        <f t="shared" si="40"/>
        <v>Mismatch</v>
      </c>
    </row>
    <row r="283" spans="1:11" x14ac:dyDescent="0.3">
      <c r="A283" t="s">
        <v>1084</v>
      </c>
      <c r="B283" s="1">
        <v>45225.147222222222</v>
      </c>
      <c r="C283" t="s">
        <v>1118</v>
      </c>
      <c r="D283">
        <v>44</v>
      </c>
      <c r="E283" t="s">
        <v>792</v>
      </c>
      <c r="F283" s="4" t="s">
        <v>20</v>
      </c>
      <c r="G283" s="4" t="str">
        <f>IFERROR(VLOOKUP(C283,'Registre maintenance'!B:F,2,FALSE),"Non trouvé")</f>
        <v>Sud-Kivu</v>
      </c>
      <c r="H283">
        <f>IFERROR(VLOOKUP(C283,'Registre maintenance'!B:F,3,FALSE),"Non trouvé")</f>
        <v>4.2904629999999999</v>
      </c>
      <c r="I283">
        <f>IFERROR(VLOOKUP(C283,'Registre maintenance'!B:F,4,FALSE),"Non trouvé")</f>
        <v>26.354195000000001</v>
      </c>
      <c r="J283" t="str">
        <f>IFERROR(VLOOKUP(C283,'Registre maintenance'!B:F,5,FALSE),"Non trouvé")</f>
        <v>3G</v>
      </c>
      <c r="K283" t="str">
        <f t="shared" si="40"/>
        <v>OK</v>
      </c>
    </row>
    <row r="284" spans="1:11" x14ac:dyDescent="0.3">
      <c r="A284" t="s">
        <v>962</v>
      </c>
      <c r="B284" s="1">
        <v>45214.59652777778</v>
      </c>
      <c r="C284" t="s">
        <v>974</v>
      </c>
      <c r="D284">
        <v>88</v>
      </c>
      <c r="E284" t="s">
        <v>797</v>
      </c>
      <c r="F284" s="4" t="str">
        <f t="shared" ref="F284:F285" si="45">F283</f>
        <v>Sud-Kivu</v>
      </c>
      <c r="G284" s="4" t="str">
        <f>IFERROR(VLOOKUP(C284,'Registre maintenance'!B:F,2,FALSE),"Non trouvé")</f>
        <v>Non trouvé</v>
      </c>
      <c r="H284" t="str">
        <f>IFERROR(VLOOKUP(C284,'Registre maintenance'!B:F,3,FALSE),"Non trouvé")</f>
        <v>Non trouvé</v>
      </c>
      <c r="I284" t="str">
        <f>IFERROR(VLOOKUP(C284,'Registre maintenance'!B:F,4,FALSE),"Non trouvé")</f>
        <v>Non trouvé</v>
      </c>
      <c r="J284" t="str">
        <f>IFERROR(VLOOKUP(C284,'Registre maintenance'!B:F,5,FALSE),"Non trouvé")</f>
        <v>Non trouvé</v>
      </c>
      <c r="K284" t="str">
        <f t="shared" si="40"/>
        <v>Mismatch</v>
      </c>
    </row>
    <row r="285" spans="1:11" x14ac:dyDescent="0.3">
      <c r="A285" t="s">
        <v>962</v>
      </c>
      <c r="B285" s="1">
        <v>45227.768750000003</v>
      </c>
      <c r="C285" t="s">
        <v>975</v>
      </c>
      <c r="D285">
        <v>61</v>
      </c>
      <c r="E285" t="s">
        <v>795</v>
      </c>
      <c r="F285" s="4" t="str">
        <f t="shared" si="45"/>
        <v>Sud-Kivu</v>
      </c>
      <c r="G285" s="4" t="str">
        <f>IFERROR(VLOOKUP(C285,'Registre maintenance'!B:F,2,FALSE),"Non trouvé")</f>
        <v>Non trouvé</v>
      </c>
      <c r="H285" t="str">
        <f>IFERROR(VLOOKUP(C285,'Registre maintenance'!B:F,3,FALSE),"Non trouvé")</f>
        <v>Non trouvé</v>
      </c>
      <c r="I285" t="str">
        <f>IFERROR(VLOOKUP(C285,'Registre maintenance'!B:F,4,FALSE),"Non trouvé")</f>
        <v>Non trouvé</v>
      </c>
      <c r="J285" t="str">
        <f>IFERROR(VLOOKUP(C285,'Registre maintenance'!B:F,5,FALSE),"Non trouvé")</f>
        <v>Non trouvé</v>
      </c>
      <c r="K285" t="str">
        <f t="shared" si="40"/>
        <v>Mismatch</v>
      </c>
    </row>
    <row r="286" spans="1:11" x14ac:dyDescent="0.3">
      <c r="A286" t="s">
        <v>962</v>
      </c>
      <c r="B286" s="1">
        <v>45209.777083333327</v>
      </c>
      <c r="C286" t="s">
        <v>976</v>
      </c>
      <c r="D286">
        <v>40</v>
      </c>
      <c r="E286" t="s">
        <v>797</v>
      </c>
      <c r="F286" s="4" t="s">
        <v>135</v>
      </c>
      <c r="G286" s="4" t="str">
        <f>IFERROR(VLOOKUP(C286,'Registre maintenance'!B:F,2,FALSE),"Non trouvé")</f>
        <v>Lualaba</v>
      </c>
      <c r="H286">
        <f>IFERROR(VLOOKUP(C286,'Registre maintenance'!B:F,3,FALSE),"Non trouvé")</f>
        <v>-9.5243310000000001</v>
      </c>
      <c r="I286">
        <f>IFERROR(VLOOKUP(C286,'Registre maintenance'!B:F,4,FALSE),"Non trouvé")</f>
        <v>30.541212000000002</v>
      </c>
      <c r="J286" t="str">
        <f>IFERROR(VLOOKUP(C286,'Registre maintenance'!B:F,5,FALSE),"Non trouvé")</f>
        <v>3G</v>
      </c>
      <c r="K286" t="str">
        <f t="shared" si="40"/>
        <v>OK</v>
      </c>
    </row>
    <row r="287" spans="1:11" x14ac:dyDescent="0.3">
      <c r="A287" t="s">
        <v>999</v>
      </c>
      <c r="B287" s="1">
        <v>45221.039583333331</v>
      </c>
      <c r="C287" t="s">
        <v>1033</v>
      </c>
      <c r="D287">
        <v>33</v>
      </c>
      <c r="E287" t="s">
        <v>795</v>
      </c>
      <c r="F287" s="4" t="s">
        <v>63</v>
      </c>
      <c r="G287" s="4" t="str">
        <f>IFERROR(VLOOKUP(C287,'Registre maintenance'!B:F,2,FALSE),"Non trouvé")</f>
        <v>Kinshasa</v>
      </c>
      <c r="H287">
        <f>IFERROR(VLOOKUP(C287,'Registre maintenance'!B:F,3,FALSE),"Non trouvé")</f>
        <v>0.48965500000000001</v>
      </c>
      <c r="I287">
        <f>IFERROR(VLOOKUP(C287,'Registre maintenance'!B:F,4,FALSE),"Non trouvé")</f>
        <v>26.176860000000001</v>
      </c>
      <c r="J287" t="str">
        <f>IFERROR(VLOOKUP(C287,'Registre maintenance'!B:F,5,FALSE),"Non trouvé")</f>
        <v>4G</v>
      </c>
      <c r="K287" t="str">
        <f t="shared" si="40"/>
        <v>OK</v>
      </c>
    </row>
    <row r="288" spans="1:11" x14ac:dyDescent="0.3">
      <c r="A288" t="s">
        <v>962</v>
      </c>
      <c r="B288" s="1">
        <v>45201.824305555558</v>
      </c>
      <c r="C288" t="s">
        <v>977</v>
      </c>
      <c r="D288">
        <v>28</v>
      </c>
      <c r="E288" t="s">
        <v>795</v>
      </c>
      <c r="F288" s="4" t="str">
        <f t="shared" ref="F288:F290" si="46">F287</f>
        <v>Kinshasa</v>
      </c>
      <c r="G288" s="4" t="str">
        <f>IFERROR(VLOOKUP(C288,'Registre maintenance'!B:F,2,FALSE),"Non trouvé")</f>
        <v>Non trouvé</v>
      </c>
      <c r="H288" t="str">
        <f>IFERROR(VLOOKUP(C288,'Registre maintenance'!B:F,3,FALSE),"Non trouvé")</f>
        <v>Non trouvé</v>
      </c>
      <c r="I288" t="str">
        <f>IFERROR(VLOOKUP(C288,'Registre maintenance'!B:F,4,FALSE),"Non trouvé")</f>
        <v>Non trouvé</v>
      </c>
      <c r="J288" t="str">
        <f>IFERROR(VLOOKUP(C288,'Registre maintenance'!B:F,5,FALSE),"Non trouvé")</f>
        <v>Non trouvé</v>
      </c>
      <c r="K288" t="str">
        <f t="shared" si="40"/>
        <v>Mismatch</v>
      </c>
    </row>
    <row r="289" spans="1:11" x14ac:dyDescent="0.3">
      <c r="A289" t="s">
        <v>962</v>
      </c>
      <c r="B289" s="1">
        <v>45203.277777777781</v>
      </c>
      <c r="C289" t="s">
        <v>978</v>
      </c>
      <c r="D289">
        <v>79</v>
      </c>
      <c r="E289" t="s">
        <v>795</v>
      </c>
      <c r="F289" s="4" t="str">
        <f t="shared" si="46"/>
        <v>Kinshasa</v>
      </c>
      <c r="G289" s="4" t="str">
        <f>IFERROR(VLOOKUP(C289,'Registre maintenance'!B:F,2,FALSE),"Non trouvé")</f>
        <v>Non trouvé</v>
      </c>
      <c r="H289" t="str">
        <f>IFERROR(VLOOKUP(C289,'Registre maintenance'!B:F,3,FALSE),"Non trouvé")</f>
        <v>Non trouvé</v>
      </c>
      <c r="I289" t="str">
        <f>IFERROR(VLOOKUP(C289,'Registre maintenance'!B:F,4,FALSE),"Non trouvé")</f>
        <v>Non trouvé</v>
      </c>
      <c r="J289" t="str">
        <f>IFERROR(VLOOKUP(C289,'Registre maintenance'!B:F,5,FALSE),"Non trouvé")</f>
        <v>Non trouvé</v>
      </c>
      <c r="K289" t="str">
        <f t="shared" si="40"/>
        <v>Mismatch</v>
      </c>
    </row>
    <row r="290" spans="1:11" x14ac:dyDescent="0.3">
      <c r="A290" t="s">
        <v>962</v>
      </c>
      <c r="B290" s="1">
        <v>45205.711111111108</v>
      </c>
      <c r="C290" t="s">
        <v>981</v>
      </c>
      <c r="D290">
        <v>109</v>
      </c>
      <c r="E290" t="s">
        <v>797</v>
      </c>
      <c r="F290" s="4" t="str">
        <f t="shared" si="46"/>
        <v>Kinshasa</v>
      </c>
      <c r="G290" s="4" t="str">
        <f>IFERROR(VLOOKUP(C290,'Registre maintenance'!B:F,2,FALSE),"Non trouvé")</f>
        <v>Non trouvé</v>
      </c>
      <c r="H290" t="str">
        <f>IFERROR(VLOOKUP(C290,'Registre maintenance'!B:F,3,FALSE),"Non trouvé")</f>
        <v>Non trouvé</v>
      </c>
      <c r="I290" t="str">
        <f>IFERROR(VLOOKUP(C290,'Registre maintenance'!B:F,4,FALSE),"Non trouvé")</f>
        <v>Non trouvé</v>
      </c>
      <c r="J290" t="str">
        <f>IFERROR(VLOOKUP(C290,'Registre maintenance'!B:F,5,FALSE),"Non trouvé")</f>
        <v>Non trouvé</v>
      </c>
      <c r="K290" t="str">
        <f t="shared" si="40"/>
        <v>Mismatch</v>
      </c>
    </row>
    <row r="291" spans="1:11" x14ac:dyDescent="0.3">
      <c r="A291" t="s">
        <v>962</v>
      </c>
      <c r="B291" s="1">
        <v>45205.018055555563</v>
      </c>
      <c r="C291" t="s">
        <v>982</v>
      </c>
      <c r="D291">
        <v>67</v>
      </c>
      <c r="E291" t="s">
        <v>797</v>
      </c>
      <c r="F291" s="4" t="s">
        <v>25</v>
      </c>
      <c r="G291" s="4" t="str">
        <f>IFERROR(VLOOKUP(C291,'Registre maintenance'!B:F,2,FALSE),"Non trouvé")</f>
        <v>Bas-Uele</v>
      </c>
      <c r="H291">
        <f>IFERROR(VLOOKUP(C291,'Registre maintenance'!B:F,3,FALSE),"Non trouvé")</f>
        <v>1.5278670000000001</v>
      </c>
      <c r="I291">
        <f>IFERROR(VLOOKUP(C291,'Registre maintenance'!B:F,4,FALSE),"Non trouvé")</f>
        <v>13.899388999999999</v>
      </c>
      <c r="J291" t="str">
        <f>IFERROR(VLOOKUP(C291,'Registre maintenance'!B:F,5,FALSE),"Non trouvé")</f>
        <v>3G</v>
      </c>
      <c r="K291" t="str">
        <f t="shared" si="40"/>
        <v>OK</v>
      </c>
    </row>
    <row r="292" spans="1:11" x14ac:dyDescent="0.3">
      <c r="A292" t="s">
        <v>962</v>
      </c>
      <c r="B292" s="1">
        <v>45214.943055555559</v>
      </c>
      <c r="C292" t="s">
        <v>983</v>
      </c>
      <c r="D292">
        <v>16</v>
      </c>
      <c r="E292" t="s">
        <v>792</v>
      </c>
      <c r="F292" s="4" t="str">
        <f t="shared" ref="F292:F293" si="47">F291</f>
        <v>Bas-Uele</v>
      </c>
      <c r="G292" s="4" t="str">
        <f>IFERROR(VLOOKUP(C292,'Registre maintenance'!B:F,2,FALSE),"Non trouvé")</f>
        <v>Non trouvé</v>
      </c>
      <c r="H292" t="str">
        <f>IFERROR(VLOOKUP(C292,'Registre maintenance'!B:F,3,FALSE),"Non trouvé")</f>
        <v>Non trouvé</v>
      </c>
      <c r="I292" t="str">
        <f>IFERROR(VLOOKUP(C292,'Registre maintenance'!B:F,4,FALSE),"Non trouvé")</f>
        <v>Non trouvé</v>
      </c>
      <c r="J292" t="str">
        <f>IFERROR(VLOOKUP(C292,'Registre maintenance'!B:F,5,FALSE),"Non trouvé")</f>
        <v>Non trouvé</v>
      </c>
      <c r="K292" t="str">
        <f t="shared" si="40"/>
        <v>Mismatch</v>
      </c>
    </row>
    <row r="293" spans="1:11" x14ac:dyDescent="0.3">
      <c r="A293" t="s">
        <v>962</v>
      </c>
      <c r="B293" s="1">
        <v>45209.954861111109</v>
      </c>
      <c r="C293" t="s">
        <v>984</v>
      </c>
      <c r="D293">
        <v>57</v>
      </c>
      <c r="E293" t="s">
        <v>792</v>
      </c>
      <c r="F293" s="4" t="str">
        <f t="shared" si="47"/>
        <v>Bas-Uele</v>
      </c>
      <c r="G293" s="4" t="str">
        <f>IFERROR(VLOOKUP(C293,'Registre maintenance'!B:F,2,FALSE),"Non trouvé")</f>
        <v>Non trouvé</v>
      </c>
      <c r="H293" t="str">
        <f>IFERROR(VLOOKUP(C293,'Registre maintenance'!B:F,3,FALSE),"Non trouvé")</f>
        <v>Non trouvé</v>
      </c>
      <c r="I293" t="str">
        <f>IFERROR(VLOOKUP(C293,'Registre maintenance'!B:F,4,FALSE),"Non trouvé")</f>
        <v>Non trouvé</v>
      </c>
      <c r="J293" t="str">
        <f>IFERROR(VLOOKUP(C293,'Registre maintenance'!B:F,5,FALSE),"Non trouvé")</f>
        <v>Non trouvé</v>
      </c>
      <c r="K293" t="str">
        <f t="shared" si="40"/>
        <v>Mismatch</v>
      </c>
    </row>
    <row r="294" spans="1:11" x14ac:dyDescent="0.3">
      <c r="A294" t="s">
        <v>962</v>
      </c>
      <c r="B294" s="1">
        <v>45207.368055555547</v>
      </c>
      <c r="C294" t="s">
        <v>985</v>
      </c>
      <c r="D294">
        <v>46</v>
      </c>
      <c r="E294" t="s">
        <v>792</v>
      </c>
      <c r="F294" s="4" t="s">
        <v>36</v>
      </c>
      <c r="G294" s="4" t="str">
        <f>IFERROR(VLOOKUP(C294,'Registre maintenance'!B:F,2,FALSE),"Non trouvé")</f>
        <v>Tanganyika</v>
      </c>
      <c r="H294">
        <f>IFERROR(VLOOKUP(C294,'Registre maintenance'!B:F,3,FALSE),"Non trouvé")</f>
        <v>-10.481026999999999</v>
      </c>
      <c r="I294">
        <f>IFERROR(VLOOKUP(C294,'Registre maintenance'!B:F,4,FALSE),"Non trouvé")</f>
        <v>18.160464000000001</v>
      </c>
      <c r="J294" t="str">
        <f>IFERROR(VLOOKUP(C294,'Registre maintenance'!B:F,5,FALSE),"Non trouvé")</f>
        <v>5G</v>
      </c>
      <c r="K294" t="str">
        <f t="shared" si="40"/>
        <v>OK</v>
      </c>
    </row>
    <row r="295" spans="1:11" x14ac:dyDescent="0.3">
      <c r="A295" t="s">
        <v>962</v>
      </c>
      <c r="B295" s="1">
        <v>45225.859027777777</v>
      </c>
      <c r="C295" t="s">
        <v>986</v>
      </c>
      <c r="D295">
        <v>90</v>
      </c>
      <c r="E295" t="s">
        <v>795</v>
      </c>
      <c r="F295" s="4" t="str">
        <f>F294</f>
        <v>Tanganyika</v>
      </c>
      <c r="G295" s="4" t="str">
        <f>IFERROR(VLOOKUP(C295,'Registre maintenance'!B:F,2,FALSE),"Non trouvé")</f>
        <v>Non trouvé</v>
      </c>
      <c r="H295" t="str">
        <f>IFERROR(VLOOKUP(C295,'Registre maintenance'!B:F,3,FALSE),"Non trouvé")</f>
        <v>Non trouvé</v>
      </c>
      <c r="I295" t="str">
        <f>IFERROR(VLOOKUP(C295,'Registre maintenance'!B:F,4,FALSE),"Non trouvé")</f>
        <v>Non trouvé</v>
      </c>
      <c r="J295" t="str">
        <f>IFERROR(VLOOKUP(C295,'Registre maintenance'!B:F,5,FALSE),"Non trouvé")</f>
        <v>Non trouvé</v>
      </c>
      <c r="K295" t="str">
        <f t="shared" si="40"/>
        <v>Mismatch</v>
      </c>
    </row>
    <row r="296" spans="1:11" x14ac:dyDescent="0.3">
      <c r="A296" t="s">
        <v>962</v>
      </c>
      <c r="B296" s="1">
        <v>45221.268750000003</v>
      </c>
      <c r="C296" t="s">
        <v>987</v>
      </c>
      <c r="D296">
        <v>18</v>
      </c>
      <c r="E296" t="s">
        <v>795</v>
      </c>
      <c r="F296" s="4" t="s">
        <v>129</v>
      </c>
      <c r="G296" s="4" t="str">
        <f>IFERROR(VLOOKUP(C296,'Registre maintenance'!B:F,2,FALSE),"Non trouvé")</f>
        <v>Nord-Kivu</v>
      </c>
      <c r="H296">
        <f>IFERROR(VLOOKUP(C296,'Registre maintenance'!B:F,3,FALSE),"Non trouvé")</f>
        <v>-1.8555980000000001</v>
      </c>
      <c r="I296">
        <f>IFERROR(VLOOKUP(C296,'Registre maintenance'!B:F,4,FALSE),"Non trouvé")</f>
        <v>30.421918000000002</v>
      </c>
      <c r="J296" t="str">
        <f>IFERROR(VLOOKUP(C296,'Registre maintenance'!B:F,5,FALSE),"Non trouvé")</f>
        <v>3G</v>
      </c>
      <c r="K296" t="str">
        <f t="shared" si="40"/>
        <v>OK</v>
      </c>
    </row>
    <row r="297" spans="1:11" x14ac:dyDescent="0.3">
      <c r="A297" t="s">
        <v>962</v>
      </c>
      <c r="B297" s="1">
        <v>45203.718055555553</v>
      </c>
      <c r="C297" t="s">
        <v>988</v>
      </c>
      <c r="D297">
        <v>114</v>
      </c>
      <c r="E297" t="s">
        <v>795</v>
      </c>
      <c r="F297" s="4" t="str">
        <f t="shared" ref="F297:F300" si="48">F296</f>
        <v>Nord-Kivu</v>
      </c>
      <c r="G297" s="4" t="str">
        <f>IFERROR(VLOOKUP(C297,'Registre maintenance'!B:F,2,FALSE),"Non trouvé")</f>
        <v>Non trouvé</v>
      </c>
      <c r="H297" t="str">
        <f>IFERROR(VLOOKUP(C297,'Registre maintenance'!B:F,3,FALSE),"Non trouvé")</f>
        <v>Non trouvé</v>
      </c>
      <c r="I297" t="str">
        <f>IFERROR(VLOOKUP(C297,'Registre maintenance'!B:F,4,FALSE),"Non trouvé")</f>
        <v>Non trouvé</v>
      </c>
      <c r="J297" t="str">
        <f>IFERROR(VLOOKUP(C297,'Registre maintenance'!B:F,5,FALSE),"Non trouvé")</f>
        <v>Non trouvé</v>
      </c>
      <c r="K297" t="str">
        <f t="shared" si="40"/>
        <v>Mismatch</v>
      </c>
    </row>
    <row r="298" spans="1:11" x14ac:dyDescent="0.3">
      <c r="A298" t="s">
        <v>999</v>
      </c>
      <c r="B298" s="1">
        <v>45230.444444444453</v>
      </c>
      <c r="C298" t="s">
        <v>988</v>
      </c>
      <c r="D298">
        <v>40</v>
      </c>
      <c r="E298" t="s">
        <v>792</v>
      </c>
      <c r="F298" s="4" t="str">
        <f t="shared" si="48"/>
        <v>Nord-Kivu</v>
      </c>
      <c r="G298" s="4" t="str">
        <f>IFERROR(VLOOKUP(C298,'Registre maintenance'!B:F,2,FALSE),"Non trouvé")</f>
        <v>Non trouvé</v>
      </c>
      <c r="H298" t="str">
        <f>IFERROR(VLOOKUP(C298,'Registre maintenance'!B:F,3,FALSE),"Non trouvé")</f>
        <v>Non trouvé</v>
      </c>
      <c r="I298" t="str">
        <f>IFERROR(VLOOKUP(C298,'Registre maintenance'!B:F,4,FALSE),"Non trouvé")</f>
        <v>Non trouvé</v>
      </c>
      <c r="J298" t="str">
        <f>IFERROR(VLOOKUP(C298,'Registre maintenance'!B:F,5,FALSE),"Non trouvé")</f>
        <v>Non trouvé</v>
      </c>
      <c r="K298" t="str">
        <f t="shared" si="40"/>
        <v>Mismatch</v>
      </c>
    </row>
    <row r="299" spans="1:11" x14ac:dyDescent="0.3">
      <c r="A299" t="s">
        <v>962</v>
      </c>
      <c r="B299" s="1">
        <v>45208.169444444437</v>
      </c>
      <c r="C299" t="s">
        <v>990</v>
      </c>
      <c r="D299">
        <v>47</v>
      </c>
      <c r="E299" t="s">
        <v>792</v>
      </c>
      <c r="F299" s="4" t="str">
        <f t="shared" si="48"/>
        <v>Nord-Kivu</v>
      </c>
      <c r="G299" s="4" t="str">
        <f>IFERROR(VLOOKUP(C299,'Registre maintenance'!B:F,2,FALSE),"Non trouvé")</f>
        <v>Non trouvé</v>
      </c>
      <c r="H299" t="str">
        <f>IFERROR(VLOOKUP(C299,'Registre maintenance'!B:F,3,FALSE),"Non trouvé")</f>
        <v>Non trouvé</v>
      </c>
      <c r="I299" t="str">
        <f>IFERROR(VLOOKUP(C299,'Registre maintenance'!B:F,4,FALSE),"Non trouvé")</f>
        <v>Non trouvé</v>
      </c>
      <c r="J299" t="str">
        <f>IFERROR(VLOOKUP(C299,'Registre maintenance'!B:F,5,FALSE),"Non trouvé")</f>
        <v>Non trouvé</v>
      </c>
      <c r="K299" t="str">
        <f t="shared" si="40"/>
        <v>Mismatch</v>
      </c>
    </row>
    <row r="300" spans="1:11" x14ac:dyDescent="0.3">
      <c r="A300" t="s">
        <v>962</v>
      </c>
      <c r="B300" s="1">
        <v>45201.243055555547</v>
      </c>
      <c r="C300" t="s">
        <v>991</v>
      </c>
      <c r="D300">
        <v>57</v>
      </c>
      <c r="E300" t="s">
        <v>797</v>
      </c>
      <c r="F300" s="4" t="str">
        <f t="shared" si="48"/>
        <v>Nord-Kivu</v>
      </c>
      <c r="G300" s="4" t="str">
        <f>IFERROR(VLOOKUP(C300,'Registre maintenance'!B:F,2,FALSE),"Non trouvé")</f>
        <v>Non trouvé</v>
      </c>
      <c r="H300" t="str">
        <f>IFERROR(VLOOKUP(C300,'Registre maintenance'!B:F,3,FALSE),"Non trouvé")</f>
        <v>Non trouvé</v>
      </c>
      <c r="I300" t="str">
        <f>IFERROR(VLOOKUP(C300,'Registre maintenance'!B:F,4,FALSE),"Non trouvé")</f>
        <v>Non trouvé</v>
      </c>
      <c r="J300" t="str">
        <f>IFERROR(VLOOKUP(C300,'Registre maintenance'!B:F,5,FALSE),"Non trouvé")</f>
        <v>Non trouvé</v>
      </c>
      <c r="K300" t="str">
        <f t="shared" si="40"/>
        <v>Mismatch</v>
      </c>
    </row>
    <row r="301" spans="1:11" x14ac:dyDescent="0.3">
      <c r="A301" t="s">
        <v>962</v>
      </c>
      <c r="B301" s="1">
        <v>45226.790277777778</v>
      </c>
      <c r="C301" t="s">
        <v>992</v>
      </c>
      <c r="D301">
        <v>68</v>
      </c>
      <c r="E301" t="s">
        <v>797</v>
      </c>
      <c r="F301" s="4" t="s">
        <v>59</v>
      </c>
      <c r="G301" s="4" t="str">
        <f>IFERROR(VLOOKUP(C301,'Registre maintenance'!B:F,2,FALSE),"Non trouvé")</f>
        <v>Equateur</v>
      </c>
      <c r="H301">
        <f>IFERROR(VLOOKUP(C301,'Registre maintenance'!B:F,3,FALSE),"Non trouvé")</f>
        <v>-0.37665700000000002</v>
      </c>
      <c r="I301">
        <f>IFERROR(VLOOKUP(C301,'Registre maintenance'!B:F,4,FALSE),"Non trouvé")</f>
        <v>25.154807999999999</v>
      </c>
      <c r="J301" t="str">
        <f>IFERROR(VLOOKUP(C301,'Registre maintenance'!B:F,5,FALSE),"Non trouvé")</f>
        <v>3G</v>
      </c>
      <c r="K301" t="str">
        <f t="shared" si="40"/>
        <v>OK</v>
      </c>
    </row>
    <row r="302" spans="1:11" x14ac:dyDescent="0.3">
      <c r="A302" t="s">
        <v>962</v>
      </c>
      <c r="B302" s="1">
        <v>45214.929861111108</v>
      </c>
      <c r="C302" t="s">
        <v>993</v>
      </c>
      <c r="D302">
        <v>89</v>
      </c>
      <c r="E302" t="s">
        <v>797</v>
      </c>
      <c r="F302" s="4" t="str">
        <f t="shared" ref="F302:F304" si="49">F301</f>
        <v>Equateur</v>
      </c>
      <c r="G302" s="4" t="str">
        <f>IFERROR(VLOOKUP(C302,'Registre maintenance'!B:F,2,FALSE),"Non trouvé")</f>
        <v>Non trouvé</v>
      </c>
      <c r="H302" t="str">
        <f>IFERROR(VLOOKUP(C302,'Registre maintenance'!B:F,3,FALSE),"Non trouvé")</f>
        <v>Non trouvé</v>
      </c>
      <c r="I302" t="str">
        <f>IFERROR(VLOOKUP(C302,'Registre maintenance'!B:F,4,FALSE),"Non trouvé")</f>
        <v>Non trouvé</v>
      </c>
      <c r="J302" t="str">
        <f>IFERROR(VLOOKUP(C302,'Registre maintenance'!B:F,5,FALSE),"Non trouvé")</f>
        <v>Non trouvé</v>
      </c>
      <c r="K302" t="str">
        <f t="shared" si="40"/>
        <v>Mismatch</v>
      </c>
    </row>
    <row r="303" spans="1:11" x14ac:dyDescent="0.3">
      <c r="A303" t="s">
        <v>962</v>
      </c>
      <c r="B303" s="1">
        <v>45222.511805555558</v>
      </c>
      <c r="C303" t="s">
        <v>994</v>
      </c>
      <c r="D303">
        <v>56</v>
      </c>
      <c r="E303" t="s">
        <v>792</v>
      </c>
      <c r="F303" s="4" t="str">
        <f t="shared" si="49"/>
        <v>Equateur</v>
      </c>
      <c r="G303" s="4" t="str">
        <f>IFERROR(VLOOKUP(C303,'Registre maintenance'!B:F,2,FALSE),"Non trouvé")</f>
        <v>Non trouvé</v>
      </c>
      <c r="H303" t="str">
        <f>IFERROR(VLOOKUP(C303,'Registre maintenance'!B:F,3,FALSE),"Non trouvé")</f>
        <v>Non trouvé</v>
      </c>
      <c r="I303" t="str">
        <f>IFERROR(VLOOKUP(C303,'Registre maintenance'!B:F,4,FALSE),"Non trouvé")</f>
        <v>Non trouvé</v>
      </c>
      <c r="J303" t="str">
        <f>IFERROR(VLOOKUP(C303,'Registre maintenance'!B:F,5,FALSE),"Non trouvé")</f>
        <v>Non trouvé</v>
      </c>
      <c r="K303" t="str">
        <f t="shared" si="40"/>
        <v>Mismatch</v>
      </c>
    </row>
    <row r="304" spans="1:11" x14ac:dyDescent="0.3">
      <c r="A304" t="s">
        <v>962</v>
      </c>
      <c r="B304" s="1">
        <v>45214.109722222223</v>
      </c>
      <c r="C304" t="s">
        <v>996</v>
      </c>
      <c r="D304">
        <v>102</v>
      </c>
      <c r="E304" t="s">
        <v>795</v>
      </c>
      <c r="F304" s="4" t="str">
        <f t="shared" si="49"/>
        <v>Equateur</v>
      </c>
      <c r="G304" s="4" t="str">
        <f>IFERROR(VLOOKUP(C304,'Registre maintenance'!B:F,2,FALSE),"Non trouvé")</f>
        <v>Non trouvé</v>
      </c>
      <c r="H304" t="str">
        <f>IFERROR(VLOOKUP(C304,'Registre maintenance'!B:F,3,FALSE),"Non trouvé")</f>
        <v>Non trouvé</v>
      </c>
      <c r="I304" t="str">
        <f>IFERROR(VLOOKUP(C304,'Registre maintenance'!B:F,4,FALSE),"Non trouvé")</f>
        <v>Non trouvé</v>
      </c>
      <c r="J304" t="str">
        <f>IFERROR(VLOOKUP(C304,'Registre maintenance'!B:F,5,FALSE),"Non trouvé")</f>
        <v>Non trouvé</v>
      </c>
      <c r="K304" t="str">
        <f t="shared" si="40"/>
        <v>Mismatch</v>
      </c>
    </row>
    <row r="305" spans="1:11" x14ac:dyDescent="0.3">
      <c r="A305" t="s">
        <v>1038</v>
      </c>
      <c r="B305" s="1">
        <v>45221.27847222222</v>
      </c>
      <c r="C305" t="s">
        <v>1051</v>
      </c>
      <c r="D305">
        <v>83</v>
      </c>
      <c r="E305" t="s">
        <v>797</v>
      </c>
      <c r="F305" s="4" t="s">
        <v>12</v>
      </c>
      <c r="G305" s="4" t="str">
        <f>IFERROR(VLOOKUP(C305,'Registre maintenance'!B:F,2,FALSE),"Non trouvé")</f>
        <v>Tshuapa</v>
      </c>
      <c r="H305">
        <f>IFERROR(VLOOKUP(C305,'Registre maintenance'!B:F,3,FALSE),"Non trouvé")</f>
        <v>-12.292039000000001</v>
      </c>
      <c r="I305">
        <f>IFERROR(VLOOKUP(C305,'Registre maintenance'!B:F,4,FALSE),"Non trouvé")</f>
        <v>27.538202999999999</v>
      </c>
      <c r="J305" t="str">
        <f>IFERROR(VLOOKUP(C305,'Registre maintenance'!B:F,5,FALSE),"Non trouvé")</f>
        <v>3G</v>
      </c>
      <c r="K305" t="str">
        <f t="shared" si="40"/>
        <v>OK</v>
      </c>
    </row>
    <row r="306" spans="1:11" x14ac:dyDescent="0.3">
      <c r="A306" t="s">
        <v>962</v>
      </c>
      <c r="B306" s="1">
        <v>45210.802777777782</v>
      </c>
      <c r="C306" t="s">
        <v>997</v>
      </c>
      <c r="D306">
        <v>9</v>
      </c>
      <c r="E306" t="s">
        <v>795</v>
      </c>
      <c r="F306" s="4" t="str">
        <f t="shared" ref="F306:F319" si="50">F305</f>
        <v>Tshuapa</v>
      </c>
      <c r="G306" s="4" t="str">
        <f>IFERROR(VLOOKUP(C306,'Registre maintenance'!B:F,2,FALSE),"Non trouvé")</f>
        <v>Non trouvé</v>
      </c>
      <c r="H306" t="str">
        <f>IFERROR(VLOOKUP(C306,'Registre maintenance'!B:F,3,FALSE),"Non trouvé")</f>
        <v>Non trouvé</v>
      </c>
      <c r="I306" t="str">
        <f>IFERROR(VLOOKUP(C306,'Registre maintenance'!B:F,4,FALSE),"Non trouvé")</f>
        <v>Non trouvé</v>
      </c>
      <c r="J306" t="str">
        <f>IFERROR(VLOOKUP(C306,'Registre maintenance'!B:F,5,FALSE),"Non trouvé")</f>
        <v>Non trouvé</v>
      </c>
      <c r="K306" t="str">
        <f t="shared" si="40"/>
        <v>Mismatch</v>
      </c>
    </row>
    <row r="307" spans="1:11" x14ac:dyDescent="0.3">
      <c r="A307" t="s">
        <v>962</v>
      </c>
      <c r="B307" s="1">
        <v>45230.911805555559</v>
      </c>
      <c r="C307" t="s">
        <v>998</v>
      </c>
      <c r="D307">
        <v>16</v>
      </c>
      <c r="E307" t="s">
        <v>795</v>
      </c>
      <c r="F307" s="4" t="str">
        <f t="shared" si="50"/>
        <v>Tshuapa</v>
      </c>
      <c r="G307" s="4" t="str">
        <f>IFERROR(VLOOKUP(C307,'Registre maintenance'!B:F,2,FALSE),"Non trouvé")</f>
        <v>Non trouvé</v>
      </c>
      <c r="H307" t="str">
        <f>IFERROR(VLOOKUP(C307,'Registre maintenance'!B:F,3,FALSE),"Non trouvé")</f>
        <v>Non trouvé</v>
      </c>
      <c r="I307" t="str">
        <f>IFERROR(VLOOKUP(C307,'Registre maintenance'!B:F,4,FALSE),"Non trouvé")</f>
        <v>Non trouvé</v>
      </c>
      <c r="J307" t="str">
        <f>IFERROR(VLOOKUP(C307,'Registre maintenance'!B:F,5,FALSE),"Non trouvé")</f>
        <v>Non trouvé</v>
      </c>
      <c r="K307" t="str">
        <f t="shared" si="40"/>
        <v>Mismatch</v>
      </c>
    </row>
    <row r="308" spans="1:11" x14ac:dyDescent="0.3">
      <c r="A308" t="s">
        <v>1059</v>
      </c>
      <c r="B308" s="1">
        <v>45221.143055555563</v>
      </c>
      <c r="C308" t="s">
        <v>998</v>
      </c>
      <c r="D308">
        <v>43</v>
      </c>
      <c r="E308" t="s">
        <v>792</v>
      </c>
      <c r="F308" s="4" t="str">
        <f t="shared" si="50"/>
        <v>Tshuapa</v>
      </c>
      <c r="G308" s="4" t="str">
        <f>IFERROR(VLOOKUP(C308,'Registre maintenance'!B:F,2,FALSE),"Non trouvé")</f>
        <v>Non trouvé</v>
      </c>
      <c r="H308" t="str">
        <f>IFERROR(VLOOKUP(C308,'Registre maintenance'!B:F,3,FALSE),"Non trouvé")</f>
        <v>Non trouvé</v>
      </c>
      <c r="I308" t="str">
        <f>IFERROR(VLOOKUP(C308,'Registre maintenance'!B:F,4,FALSE),"Non trouvé")</f>
        <v>Non trouvé</v>
      </c>
      <c r="J308" t="str">
        <f>IFERROR(VLOOKUP(C308,'Registre maintenance'!B:F,5,FALSE),"Non trouvé")</f>
        <v>Non trouvé</v>
      </c>
      <c r="K308" t="str">
        <f t="shared" si="40"/>
        <v>Mismatch</v>
      </c>
    </row>
    <row r="309" spans="1:11" x14ac:dyDescent="0.3">
      <c r="A309" t="s">
        <v>999</v>
      </c>
      <c r="B309" s="1">
        <v>45212.624305555553</v>
      </c>
      <c r="C309" t="s">
        <v>1000</v>
      </c>
      <c r="D309">
        <v>113</v>
      </c>
      <c r="E309" t="s">
        <v>797</v>
      </c>
      <c r="F309" s="4" t="str">
        <f t="shared" si="50"/>
        <v>Tshuapa</v>
      </c>
      <c r="G309" s="4" t="str">
        <f>IFERROR(VLOOKUP(C309,'Registre maintenance'!B:F,2,FALSE),"Non trouvé")</f>
        <v>Non trouvé</v>
      </c>
      <c r="H309" t="str">
        <f>IFERROR(VLOOKUP(C309,'Registre maintenance'!B:F,3,FALSE),"Non trouvé")</f>
        <v>Non trouvé</v>
      </c>
      <c r="I309" t="str">
        <f>IFERROR(VLOOKUP(C309,'Registre maintenance'!B:F,4,FALSE),"Non trouvé")</f>
        <v>Non trouvé</v>
      </c>
      <c r="J309" t="str">
        <f>IFERROR(VLOOKUP(C309,'Registre maintenance'!B:F,5,FALSE),"Non trouvé")</f>
        <v>Non trouvé</v>
      </c>
      <c r="K309" t="str">
        <f t="shared" si="40"/>
        <v>Mismatch</v>
      </c>
    </row>
    <row r="310" spans="1:11" x14ac:dyDescent="0.3">
      <c r="A310" t="s">
        <v>999</v>
      </c>
      <c r="B310" s="1">
        <v>45207.543055555558</v>
      </c>
      <c r="C310" t="s">
        <v>1002</v>
      </c>
      <c r="D310">
        <v>54</v>
      </c>
      <c r="E310" t="s">
        <v>792</v>
      </c>
      <c r="F310" s="4" t="str">
        <f t="shared" si="50"/>
        <v>Tshuapa</v>
      </c>
      <c r="G310" s="4" t="str">
        <f>IFERROR(VLOOKUP(C310,'Registre maintenance'!B:F,2,FALSE),"Non trouvé")</f>
        <v>Non trouvé</v>
      </c>
      <c r="H310" t="str">
        <f>IFERROR(VLOOKUP(C310,'Registre maintenance'!B:F,3,FALSE),"Non trouvé")</f>
        <v>Non trouvé</v>
      </c>
      <c r="I310" t="str">
        <f>IFERROR(VLOOKUP(C310,'Registre maintenance'!B:F,4,FALSE),"Non trouvé")</f>
        <v>Non trouvé</v>
      </c>
      <c r="J310" t="str">
        <f>IFERROR(VLOOKUP(C310,'Registre maintenance'!B:F,5,FALSE),"Non trouvé")</f>
        <v>Non trouvé</v>
      </c>
      <c r="K310" t="str">
        <f t="shared" si="40"/>
        <v>Mismatch</v>
      </c>
    </row>
    <row r="311" spans="1:11" x14ac:dyDescent="0.3">
      <c r="A311" t="s">
        <v>999</v>
      </c>
      <c r="B311" s="1">
        <v>45210.979166666657</v>
      </c>
      <c r="C311" t="s">
        <v>1003</v>
      </c>
      <c r="D311">
        <v>114</v>
      </c>
      <c r="E311" t="s">
        <v>797</v>
      </c>
      <c r="F311" s="4" t="str">
        <f t="shared" si="50"/>
        <v>Tshuapa</v>
      </c>
      <c r="G311" s="4" t="str">
        <f>IFERROR(VLOOKUP(C311,'Registre maintenance'!B:F,2,FALSE),"Non trouvé")</f>
        <v>Non trouvé</v>
      </c>
      <c r="H311" t="str">
        <f>IFERROR(VLOOKUP(C311,'Registre maintenance'!B:F,3,FALSE),"Non trouvé")</f>
        <v>Non trouvé</v>
      </c>
      <c r="I311" t="str">
        <f>IFERROR(VLOOKUP(C311,'Registre maintenance'!B:F,4,FALSE),"Non trouvé")</f>
        <v>Non trouvé</v>
      </c>
      <c r="J311" t="str">
        <f>IFERROR(VLOOKUP(C311,'Registre maintenance'!B:F,5,FALSE),"Non trouvé")</f>
        <v>Non trouvé</v>
      </c>
      <c r="K311" t="str">
        <f t="shared" si="40"/>
        <v>Mismatch</v>
      </c>
    </row>
    <row r="312" spans="1:11" x14ac:dyDescent="0.3">
      <c r="A312" t="s">
        <v>999</v>
      </c>
      <c r="B312" s="1">
        <v>45222.51666666667</v>
      </c>
      <c r="C312" t="s">
        <v>1004</v>
      </c>
      <c r="D312">
        <v>66</v>
      </c>
      <c r="E312" t="s">
        <v>792</v>
      </c>
      <c r="F312" s="4" t="str">
        <f t="shared" si="50"/>
        <v>Tshuapa</v>
      </c>
      <c r="G312" s="4" t="str">
        <f>IFERROR(VLOOKUP(C312,'Registre maintenance'!B:F,2,FALSE),"Non trouvé")</f>
        <v>Non trouvé</v>
      </c>
      <c r="H312" t="str">
        <f>IFERROR(VLOOKUP(C312,'Registre maintenance'!B:F,3,FALSE),"Non trouvé")</f>
        <v>Non trouvé</v>
      </c>
      <c r="I312" t="str">
        <f>IFERROR(VLOOKUP(C312,'Registre maintenance'!B:F,4,FALSE),"Non trouvé")</f>
        <v>Non trouvé</v>
      </c>
      <c r="J312" t="str">
        <f>IFERROR(VLOOKUP(C312,'Registre maintenance'!B:F,5,FALSE),"Non trouvé")</f>
        <v>Non trouvé</v>
      </c>
      <c r="K312" t="str">
        <f t="shared" si="40"/>
        <v>Mismatch</v>
      </c>
    </row>
    <row r="313" spans="1:11" x14ac:dyDescent="0.3">
      <c r="A313" t="s">
        <v>999</v>
      </c>
      <c r="B313" s="1">
        <v>45221.839583333327</v>
      </c>
      <c r="C313" t="s">
        <v>1005</v>
      </c>
      <c r="D313">
        <v>18</v>
      </c>
      <c r="E313" t="s">
        <v>792</v>
      </c>
      <c r="F313" s="4" t="str">
        <f t="shared" si="50"/>
        <v>Tshuapa</v>
      </c>
      <c r="G313" s="4" t="str">
        <f>IFERROR(VLOOKUP(C313,'Registre maintenance'!B:F,2,FALSE),"Non trouvé")</f>
        <v>Non trouvé</v>
      </c>
      <c r="H313" t="str">
        <f>IFERROR(VLOOKUP(C313,'Registre maintenance'!B:F,3,FALSE),"Non trouvé")</f>
        <v>Non trouvé</v>
      </c>
      <c r="I313" t="str">
        <f>IFERROR(VLOOKUP(C313,'Registre maintenance'!B:F,4,FALSE),"Non trouvé")</f>
        <v>Non trouvé</v>
      </c>
      <c r="J313" t="str">
        <f>IFERROR(VLOOKUP(C313,'Registre maintenance'!B:F,5,FALSE),"Non trouvé")</f>
        <v>Non trouvé</v>
      </c>
      <c r="K313" t="str">
        <f t="shared" si="40"/>
        <v>Mismatch</v>
      </c>
    </row>
    <row r="314" spans="1:11" x14ac:dyDescent="0.3">
      <c r="A314" t="s">
        <v>999</v>
      </c>
      <c r="B314" s="1">
        <v>45215.047222222223</v>
      </c>
      <c r="C314" t="s">
        <v>1006</v>
      </c>
      <c r="D314">
        <v>35</v>
      </c>
      <c r="E314" t="s">
        <v>792</v>
      </c>
      <c r="F314" s="4" t="str">
        <f t="shared" si="50"/>
        <v>Tshuapa</v>
      </c>
      <c r="G314" s="4" t="str">
        <f>IFERROR(VLOOKUP(C314,'Registre maintenance'!B:F,2,FALSE),"Non trouvé")</f>
        <v>Non trouvé</v>
      </c>
      <c r="H314" t="str">
        <f>IFERROR(VLOOKUP(C314,'Registre maintenance'!B:F,3,FALSE),"Non trouvé")</f>
        <v>Non trouvé</v>
      </c>
      <c r="I314" t="str">
        <f>IFERROR(VLOOKUP(C314,'Registre maintenance'!B:F,4,FALSE),"Non trouvé")</f>
        <v>Non trouvé</v>
      </c>
      <c r="J314" t="str">
        <f>IFERROR(VLOOKUP(C314,'Registre maintenance'!B:F,5,FALSE),"Non trouvé")</f>
        <v>Non trouvé</v>
      </c>
      <c r="K314" t="str">
        <f t="shared" si="40"/>
        <v>Mismatch</v>
      </c>
    </row>
    <row r="315" spans="1:11" x14ac:dyDescent="0.3">
      <c r="A315" t="s">
        <v>999</v>
      </c>
      <c r="B315" s="1">
        <v>45227.163194444453</v>
      </c>
      <c r="C315" t="s">
        <v>1007</v>
      </c>
      <c r="D315">
        <v>78</v>
      </c>
      <c r="E315" t="s">
        <v>795</v>
      </c>
      <c r="F315" s="4" t="str">
        <f t="shared" si="50"/>
        <v>Tshuapa</v>
      </c>
      <c r="G315" s="4" t="str">
        <f>IFERROR(VLOOKUP(C315,'Registre maintenance'!B:F,2,FALSE),"Non trouvé")</f>
        <v>Non trouvé</v>
      </c>
      <c r="H315" t="str">
        <f>IFERROR(VLOOKUP(C315,'Registre maintenance'!B:F,3,FALSE),"Non trouvé")</f>
        <v>Non trouvé</v>
      </c>
      <c r="I315" t="str">
        <f>IFERROR(VLOOKUP(C315,'Registre maintenance'!B:F,4,FALSE),"Non trouvé")</f>
        <v>Non trouvé</v>
      </c>
      <c r="J315" t="str">
        <f>IFERROR(VLOOKUP(C315,'Registre maintenance'!B:F,5,FALSE),"Non trouvé")</f>
        <v>Non trouvé</v>
      </c>
      <c r="K315" t="str">
        <f t="shared" si="40"/>
        <v>Mismatch</v>
      </c>
    </row>
    <row r="316" spans="1:11" x14ac:dyDescent="0.3">
      <c r="A316" t="s">
        <v>999</v>
      </c>
      <c r="B316" s="1">
        <v>45223.18472222222</v>
      </c>
      <c r="C316" t="s">
        <v>1009</v>
      </c>
      <c r="D316">
        <v>42</v>
      </c>
      <c r="E316" t="s">
        <v>795</v>
      </c>
      <c r="F316" s="4" t="str">
        <f t="shared" si="50"/>
        <v>Tshuapa</v>
      </c>
      <c r="G316" s="4" t="str">
        <f>IFERROR(VLOOKUP(C316,'Registre maintenance'!B:F,2,FALSE),"Non trouvé")</f>
        <v>Non trouvé</v>
      </c>
      <c r="H316" t="str">
        <f>IFERROR(VLOOKUP(C316,'Registre maintenance'!B:F,3,FALSE),"Non trouvé")</f>
        <v>Non trouvé</v>
      </c>
      <c r="I316" t="str">
        <f>IFERROR(VLOOKUP(C316,'Registre maintenance'!B:F,4,FALSE),"Non trouvé")</f>
        <v>Non trouvé</v>
      </c>
      <c r="J316" t="str">
        <f>IFERROR(VLOOKUP(C316,'Registre maintenance'!B:F,5,FALSE),"Non trouvé")</f>
        <v>Non trouvé</v>
      </c>
      <c r="K316" t="str">
        <f t="shared" si="40"/>
        <v>Mismatch</v>
      </c>
    </row>
    <row r="317" spans="1:11" x14ac:dyDescent="0.3">
      <c r="A317" t="s">
        <v>999</v>
      </c>
      <c r="B317" s="1">
        <v>45227.839583333327</v>
      </c>
      <c r="C317" t="s">
        <v>1010</v>
      </c>
      <c r="D317">
        <v>94</v>
      </c>
      <c r="E317" t="s">
        <v>797</v>
      </c>
      <c r="F317" s="4" t="str">
        <f t="shared" si="50"/>
        <v>Tshuapa</v>
      </c>
      <c r="G317" s="4" t="str">
        <f>IFERROR(VLOOKUP(C317,'Registre maintenance'!B:F,2,FALSE),"Non trouvé")</f>
        <v>Non trouvé</v>
      </c>
      <c r="H317" t="str">
        <f>IFERROR(VLOOKUP(C317,'Registre maintenance'!B:F,3,FALSE),"Non trouvé")</f>
        <v>Non trouvé</v>
      </c>
      <c r="I317" t="str">
        <f>IFERROR(VLOOKUP(C317,'Registre maintenance'!B:F,4,FALSE),"Non trouvé")</f>
        <v>Non trouvé</v>
      </c>
      <c r="J317" t="str">
        <f>IFERROR(VLOOKUP(C317,'Registre maintenance'!B:F,5,FALSE),"Non trouvé")</f>
        <v>Non trouvé</v>
      </c>
      <c r="K317" t="str">
        <f t="shared" si="40"/>
        <v>Mismatch</v>
      </c>
    </row>
    <row r="318" spans="1:11" x14ac:dyDescent="0.3">
      <c r="A318" t="s">
        <v>999</v>
      </c>
      <c r="B318" s="1">
        <v>45202.659722222219</v>
      </c>
      <c r="C318" t="s">
        <v>1011</v>
      </c>
      <c r="D318">
        <v>42</v>
      </c>
      <c r="E318" t="s">
        <v>792</v>
      </c>
      <c r="F318" s="4" t="str">
        <f t="shared" si="50"/>
        <v>Tshuapa</v>
      </c>
      <c r="G318" s="4" t="str">
        <f>IFERROR(VLOOKUP(C318,'Registre maintenance'!B:F,2,FALSE),"Non trouvé")</f>
        <v>Non trouvé</v>
      </c>
      <c r="H318" t="str">
        <f>IFERROR(VLOOKUP(C318,'Registre maintenance'!B:F,3,FALSE),"Non trouvé")</f>
        <v>Non trouvé</v>
      </c>
      <c r="I318" t="str">
        <f>IFERROR(VLOOKUP(C318,'Registre maintenance'!B:F,4,FALSE),"Non trouvé")</f>
        <v>Non trouvé</v>
      </c>
      <c r="J318" t="str">
        <f>IFERROR(VLOOKUP(C318,'Registre maintenance'!B:F,5,FALSE),"Non trouvé")</f>
        <v>Non trouvé</v>
      </c>
      <c r="K318" t="str">
        <f t="shared" si="40"/>
        <v>Mismatch</v>
      </c>
    </row>
    <row r="319" spans="1:11" x14ac:dyDescent="0.3">
      <c r="A319" t="s">
        <v>1084</v>
      </c>
      <c r="B319" s="1">
        <v>45203.447916666657</v>
      </c>
      <c r="C319" t="s">
        <v>1011</v>
      </c>
      <c r="D319">
        <v>84</v>
      </c>
      <c r="E319" t="s">
        <v>797</v>
      </c>
      <c r="F319" s="4" t="str">
        <f t="shared" si="50"/>
        <v>Tshuapa</v>
      </c>
      <c r="G319" s="4" t="str">
        <f>IFERROR(VLOOKUP(C319,'Registre maintenance'!B:F,2,FALSE),"Non trouvé")</f>
        <v>Non trouvé</v>
      </c>
      <c r="H319" t="str">
        <f>IFERROR(VLOOKUP(C319,'Registre maintenance'!B:F,3,FALSE),"Non trouvé")</f>
        <v>Non trouvé</v>
      </c>
      <c r="I319" t="str">
        <f>IFERROR(VLOOKUP(C319,'Registre maintenance'!B:F,4,FALSE),"Non trouvé")</f>
        <v>Non trouvé</v>
      </c>
      <c r="J319" t="str">
        <f>IFERROR(VLOOKUP(C319,'Registre maintenance'!B:F,5,FALSE),"Non trouvé")</f>
        <v>Non trouvé</v>
      </c>
      <c r="K319" t="str">
        <f t="shared" si="40"/>
        <v>Mismatch</v>
      </c>
    </row>
    <row r="320" spans="1:11" x14ac:dyDescent="0.3">
      <c r="A320" t="s">
        <v>999</v>
      </c>
      <c r="B320" s="1">
        <v>45208.443749999999</v>
      </c>
      <c r="C320" t="s">
        <v>1012</v>
      </c>
      <c r="D320">
        <v>7</v>
      </c>
      <c r="E320" t="s">
        <v>797</v>
      </c>
      <c r="F320" s="4" t="s">
        <v>17</v>
      </c>
      <c r="G320" s="4" t="str">
        <f>IFERROR(VLOOKUP(C320,'Registre maintenance'!B:F,2,FALSE),"Non trouvé")</f>
        <v>Haut-Lomami</v>
      </c>
      <c r="H320">
        <f>IFERROR(VLOOKUP(C320,'Registre maintenance'!B:F,3,FALSE),"Non trouvé")</f>
        <v>-6.3324319999999998</v>
      </c>
      <c r="I320">
        <f>IFERROR(VLOOKUP(C320,'Registre maintenance'!B:F,4,FALSE),"Non trouvé")</f>
        <v>24.887858000000001</v>
      </c>
      <c r="J320" t="str">
        <f>IFERROR(VLOOKUP(C320,'Registre maintenance'!B:F,5,FALSE),"Non trouvé")</f>
        <v>4G</v>
      </c>
      <c r="K320" t="str">
        <f t="shared" si="40"/>
        <v>OK</v>
      </c>
    </row>
    <row r="321" spans="1:11" x14ac:dyDescent="0.3">
      <c r="A321" t="s">
        <v>999</v>
      </c>
      <c r="B321" s="1">
        <v>45222.52847222222</v>
      </c>
      <c r="C321" t="s">
        <v>1013</v>
      </c>
      <c r="D321">
        <v>111</v>
      </c>
      <c r="E321" t="s">
        <v>792</v>
      </c>
      <c r="F321" s="4" t="str">
        <f t="shared" ref="F321:F324" si="51">F320</f>
        <v>Haut-Lomami</v>
      </c>
      <c r="G321" s="4" t="str">
        <f>IFERROR(VLOOKUP(C321,'Registre maintenance'!B:F,2,FALSE),"Non trouvé")</f>
        <v>Non trouvé</v>
      </c>
      <c r="H321" t="str">
        <f>IFERROR(VLOOKUP(C321,'Registre maintenance'!B:F,3,FALSE),"Non trouvé")</f>
        <v>Non trouvé</v>
      </c>
      <c r="I321" t="str">
        <f>IFERROR(VLOOKUP(C321,'Registre maintenance'!B:F,4,FALSE),"Non trouvé")</f>
        <v>Non trouvé</v>
      </c>
      <c r="J321" t="str">
        <f>IFERROR(VLOOKUP(C321,'Registre maintenance'!B:F,5,FALSE),"Non trouvé")</f>
        <v>Non trouvé</v>
      </c>
      <c r="K321" t="str">
        <f t="shared" si="40"/>
        <v>Mismatch</v>
      </c>
    </row>
    <row r="322" spans="1:11" x14ac:dyDescent="0.3">
      <c r="A322" t="s">
        <v>999</v>
      </c>
      <c r="B322" s="1">
        <v>45202.45416666667</v>
      </c>
      <c r="C322" t="s">
        <v>1014</v>
      </c>
      <c r="D322">
        <v>89</v>
      </c>
      <c r="E322" t="s">
        <v>797</v>
      </c>
      <c r="F322" s="4" t="str">
        <f t="shared" si="51"/>
        <v>Haut-Lomami</v>
      </c>
      <c r="G322" s="4" t="str">
        <f>IFERROR(VLOOKUP(C322,'Registre maintenance'!B:F,2,FALSE),"Non trouvé")</f>
        <v>Non trouvé</v>
      </c>
      <c r="H322" t="str">
        <f>IFERROR(VLOOKUP(C322,'Registre maintenance'!B:F,3,FALSE),"Non trouvé")</f>
        <v>Non trouvé</v>
      </c>
      <c r="I322" t="str">
        <f>IFERROR(VLOOKUP(C322,'Registre maintenance'!B:F,4,FALSE),"Non trouvé")</f>
        <v>Non trouvé</v>
      </c>
      <c r="J322" t="str">
        <f>IFERROR(VLOOKUP(C322,'Registre maintenance'!B:F,5,FALSE),"Non trouvé")</f>
        <v>Non trouvé</v>
      </c>
      <c r="K322" t="str">
        <f t="shared" ref="K322:K385" si="52">IF(F322=G322,"OK","Mismatch")</f>
        <v>Mismatch</v>
      </c>
    </row>
    <row r="323" spans="1:11" x14ac:dyDescent="0.3">
      <c r="A323" t="s">
        <v>999</v>
      </c>
      <c r="B323" s="1">
        <v>45217.068749999999</v>
      </c>
      <c r="C323" t="s">
        <v>1017</v>
      </c>
      <c r="D323">
        <v>77</v>
      </c>
      <c r="E323" t="s">
        <v>797</v>
      </c>
      <c r="F323" s="4" t="str">
        <f t="shared" si="51"/>
        <v>Haut-Lomami</v>
      </c>
      <c r="G323" s="4" t="str">
        <f>IFERROR(VLOOKUP(C323,'Registre maintenance'!B:F,2,FALSE),"Non trouvé")</f>
        <v>Non trouvé</v>
      </c>
      <c r="H323" t="str">
        <f>IFERROR(VLOOKUP(C323,'Registre maintenance'!B:F,3,FALSE),"Non trouvé")</f>
        <v>Non trouvé</v>
      </c>
      <c r="I323" t="str">
        <f>IFERROR(VLOOKUP(C323,'Registre maintenance'!B:F,4,FALSE),"Non trouvé")</f>
        <v>Non trouvé</v>
      </c>
      <c r="J323" t="str">
        <f>IFERROR(VLOOKUP(C323,'Registre maintenance'!B:F,5,FALSE),"Non trouvé")</f>
        <v>Non trouvé</v>
      </c>
      <c r="K323" t="str">
        <f t="shared" si="52"/>
        <v>Mismatch</v>
      </c>
    </row>
    <row r="324" spans="1:11" x14ac:dyDescent="0.3">
      <c r="A324" t="s">
        <v>1038</v>
      </c>
      <c r="B324" s="1">
        <v>45230.726388888892</v>
      </c>
      <c r="C324" t="s">
        <v>1017</v>
      </c>
      <c r="D324">
        <v>19</v>
      </c>
      <c r="E324" t="s">
        <v>795</v>
      </c>
      <c r="F324" s="4" t="str">
        <f t="shared" si="51"/>
        <v>Haut-Lomami</v>
      </c>
      <c r="G324" s="4" t="str">
        <f>IFERROR(VLOOKUP(C324,'Registre maintenance'!B:F,2,FALSE),"Non trouvé")</f>
        <v>Non trouvé</v>
      </c>
      <c r="H324" t="str">
        <f>IFERROR(VLOOKUP(C324,'Registre maintenance'!B:F,3,FALSE),"Non trouvé")</f>
        <v>Non trouvé</v>
      </c>
      <c r="I324" t="str">
        <f>IFERROR(VLOOKUP(C324,'Registre maintenance'!B:F,4,FALSE),"Non trouvé")</f>
        <v>Non trouvé</v>
      </c>
      <c r="J324" t="str">
        <f>IFERROR(VLOOKUP(C324,'Registre maintenance'!B:F,5,FALSE),"Non trouvé")</f>
        <v>Non trouvé</v>
      </c>
      <c r="K324" t="str">
        <f t="shared" si="52"/>
        <v>Mismatch</v>
      </c>
    </row>
    <row r="325" spans="1:11" x14ac:dyDescent="0.3">
      <c r="A325" t="s">
        <v>1038</v>
      </c>
      <c r="B325" s="1">
        <v>45203.652083333327</v>
      </c>
      <c r="C325" t="s">
        <v>1043</v>
      </c>
      <c r="D325">
        <v>65</v>
      </c>
      <c r="E325" t="s">
        <v>797</v>
      </c>
      <c r="F325" s="4" t="s">
        <v>23</v>
      </c>
      <c r="G325" s="4" t="str">
        <f>IFERROR(VLOOKUP(C325,'Registre maintenance'!B:F,2,FALSE),"Non trouvé")</f>
        <v>Haut-Katanga</v>
      </c>
      <c r="H325">
        <f>IFERROR(VLOOKUP(C325,'Registre maintenance'!B:F,3,FALSE),"Non trouvé")</f>
        <v>2.016505</v>
      </c>
      <c r="I325">
        <f>IFERROR(VLOOKUP(C325,'Registre maintenance'!B:F,4,FALSE),"Non trouvé")</f>
        <v>14.294164</v>
      </c>
      <c r="J325" t="str">
        <f>IFERROR(VLOOKUP(C325,'Registre maintenance'!B:F,5,FALSE),"Non trouvé")</f>
        <v>5G</v>
      </c>
      <c r="K325" t="str">
        <f t="shared" si="52"/>
        <v>OK</v>
      </c>
    </row>
    <row r="326" spans="1:11" x14ac:dyDescent="0.3">
      <c r="A326" t="s">
        <v>999</v>
      </c>
      <c r="B326" s="1">
        <v>45202.319444444453</v>
      </c>
      <c r="C326" t="s">
        <v>1018</v>
      </c>
      <c r="D326">
        <v>115</v>
      </c>
      <c r="E326" t="s">
        <v>795</v>
      </c>
      <c r="F326" s="4" t="str">
        <f t="shared" ref="F326:F329" si="53">F325</f>
        <v>Haut-Katanga</v>
      </c>
      <c r="G326" s="4" t="str">
        <f>IFERROR(VLOOKUP(C326,'Registre maintenance'!B:F,2,FALSE),"Non trouvé")</f>
        <v>Non trouvé</v>
      </c>
      <c r="H326" t="str">
        <f>IFERROR(VLOOKUP(C326,'Registre maintenance'!B:F,3,FALSE),"Non trouvé")</f>
        <v>Non trouvé</v>
      </c>
      <c r="I326" t="str">
        <f>IFERROR(VLOOKUP(C326,'Registre maintenance'!B:F,4,FALSE),"Non trouvé")</f>
        <v>Non trouvé</v>
      </c>
      <c r="J326" t="str">
        <f>IFERROR(VLOOKUP(C326,'Registre maintenance'!B:F,5,FALSE),"Non trouvé")</f>
        <v>Non trouvé</v>
      </c>
      <c r="K326" t="str">
        <f t="shared" si="52"/>
        <v>Mismatch</v>
      </c>
    </row>
    <row r="327" spans="1:11" x14ac:dyDescent="0.3">
      <c r="A327" t="s">
        <v>999</v>
      </c>
      <c r="B327" s="1">
        <v>45221.384722222218</v>
      </c>
      <c r="C327" t="s">
        <v>1019</v>
      </c>
      <c r="D327">
        <v>92</v>
      </c>
      <c r="E327" t="s">
        <v>795</v>
      </c>
      <c r="F327" s="4" t="str">
        <f t="shared" si="53"/>
        <v>Haut-Katanga</v>
      </c>
      <c r="G327" s="4" t="str">
        <f>IFERROR(VLOOKUP(C327,'Registre maintenance'!B:F,2,FALSE),"Non trouvé")</f>
        <v>Non trouvé</v>
      </c>
      <c r="H327" t="str">
        <f>IFERROR(VLOOKUP(C327,'Registre maintenance'!B:F,3,FALSE),"Non trouvé")</f>
        <v>Non trouvé</v>
      </c>
      <c r="I327" t="str">
        <f>IFERROR(VLOOKUP(C327,'Registre maintenance'!B:F,4,FALSE),"Non trouvé")</f>
        <v>Non trouvé</v>
      </c>
      <c r="J327" t="str">
        <f>IFERROR(VLOOKUP(C327,'Registre maintenance'!B:F,5,FALSE),"Non trouvé")</f>
        <v>Non trouvé</v>
      </c>
      <c r="K327" t="str">
        <f t="shared" si="52"/>
        <v>Mismatch</v>
      </c>
    </row>
    <row r="328" spans="1:11" x14ac:dyDescent="0.3">
      <c r="A328" t="s">
        <v>999</v>
      </c>
      <c r="B328" s="1">
        <v>45223.102083333331</v>
      </c>
      <c r="C328" t="s">
        <v>1020</v>
      </c>
      <c r="D328">
        <v>104</v>
      </c>
      <c r="E328" t="s">
        <v>795</v>
      </c>
      <c r="F328" s="4" t="str">
        <f t="shared" si="53"/>
        <v>Haut-Katanga</v>
      </c>
      <c r="G328" s="4" t="str">
        <f>IFERROR(VLOOKUP(C328,'Registre maintenance'!B:F,2,FALSE),"Non trouvé")</f>
        <v>Non trouvé</v>
      </c>
      <c r="H328" t="str">
        <f>IFERROR(VLOOKUP(C328,'Registre maintenance'!B:F,3,FALSE),"Non trouvé")</f>
        <v>Non trouvé</v>
      </c>
      <c r="I328" t="str">
        <f>IFERROR(VLOOKUP(C328,'Registre maintenance'!B:F,4,FALSE),"Non trouvé")</f>
        <v>Non trouvé</v>
      </c>
      <c r="J328" t="str">
        <f>IFERROR(VLOOKUP(C328,'Registre maintenance'!B:F,5,FALSE),"Non trouvé")</f>
        <v>Non trouvé</v>
      </c>
      <c r="K328" t="str">
        <f t="shared" si="52"/>
        <v>Mismatch</v>
      </c>
    </row>
    <row r="329" spans="1:11" x14ac:dyDescent="0.3">
      <c r="A329" t="s">
        <v>999</v>
      </c>
      <c r="B329" s="1">
        <v>45203.864583333343</v>
      </c>
      <c r="C329" t="s">
        <v>1021</v>
      </c>
      <c r="D329">
        <v>100</v>
      </c>
      <c r="E329" t="s">
        <v>797</v>
      </c>
      <c r="F329" s="4" t="str">
        <f t="shared" si="53"/>
        <v>Haut-Katanga</v>
      </c>
      <c r="G329" s="4" t="str">
        <f>IFERROR(VLOOKUP(C329,'Registre maintenance'!B:F,2,FALSE),"Non trouvé")</f>
        <v>Non trouvé</v>
      </c>
      <c r="H329" t="str">
        <f>IFERROR(VLOOKUP(C329,'Registre maintenance'!B:F,3,FALSE),"Non trouvé")</f>
        <v>Non trouvé</v>
      </c>
      <c r="I329" t="str">
        <f>IFERROR(VLOOKUP(C329,'Registre maintenance'!B:F,4,FALSE),"Non trouvé")</f>
        <v>Non trouvé</v>
      </c>
      <c r="J329" t="str">
        <f>IFERROR(VLOOKUP(C329,'Registre maintenance'!B:F,5,FALSE),"Non trouvé")</f>
        <v>Non trouvé</v>
      </c>
      <c r="K329" t="str">
        <f t="shared" si="52"/>
        <v>Mismatch</v>
      </c>
    </row>
    <row r="330" spans="1:11" x14ac:dyDescent="0.3">
      <c r="A330" t="s">
        <v>999</v>
      </c>
      <c r="B330" s="1">
        <v>45227.144444444442</v>
      </c>
      <c r="C330" t="s">
        <v>1022</v>
      </c>
      <c r="D330">
        <v>11</v>
      </c>
      <c r="E330" t="s">
        <v>795</v>
      </c>
      <c r="F330" s="4" t="s">
        <v>72</v>
      </c>
      <c r="G330" s="4" t="str">
        <f>IFERROR(VLOOKUP(C330,'Registre maintenance'!B:F,2,FALSE),"Non trouvé")</f>
        <v>Tshopo</v>
      </c>
      <c r="H330">
        <f>IFERROR(VLOOKUP(C330,'Registre maintenance'!B:F,3,FALSE),"Non trouvé")</f>
        <v>2.4425979999999998</v>
      </c>
      <c r="I330">
        <f>IFERROR(VLOOKUP(C330,'Registre maintenance'!B:F,4,FALSE),"Non trouvé")</f>
        <v>24.924308</v>
      </c>
      <c r="J330" t="str">
        <f>IFERROR(VLOOKUP(C330,'Registre maintenance'!B:F,5,FALSE),"Non trouvé")</f>
        <v>5G</v>
      </c>
      <c r="K330" t="str">
        <f t="shared" si="52"/>
        <v>OK</v>
      </c>
    </row>
    <row r="331" spans="1:11" x14ac:dyDescent="0.3">
      <c r="A331" t="s">
        <v>1084</v>
      </c>
      <c r="B331" s="1">
        <v>45202.779166666667</v>
      </c>
      <c r="C331" t="s">
        <v>1103</v>
      </c>
      <c r="D331">
        <v>61</v>
      </c>
      <c r="E331" t="s">
        <v>797</v>
      </c>
      <c r="F331" s="4" t="s">
        <v>36</v>
      </c>
      <c r="G331" s="4" t="str">
        <f>IFERROR(VLOOKUP(C331,'Registre maintenance'!B:F,2,FALSE),"Non trouvé")</f>
        <v>Tanganyika</v>
      </c>
      <c r="H331">
        <f>IFERROR(VLOOKUP(C331,'Registre maintenance'!B:F,3,FALSE),"Non trouvé")</f>
        <v>-12.229338</v>
      </c>
      <c r="I331">
        <f>IFERROR(VLOOKUP(C331,'Registre maintenance'!B:F,4,FALSE),"Non trouvé")</f>
        <v>29.587834999999998</v>
      </c>
      <c r="J331" t="str">
        <f>IFERROR(VLOOKUP(C331,'Registre maintenance'!B:F,5,FALSE),"Non trouvé")</f>
        <v>4G</v>
      </c>
      <c r="K331" t="str">
        <f t="shared" si="52"/>
        <v>OK</v>
      </c>
    </row>
    <row r="332" spans="1:11" x14ac:dyDescent="0.3">
      <c r="A332" t="s">
        <v>999</v>
      </c>
      <c r="B332" s="1">
        <v>45205.929861111108</v>
      </c>
      <c r="C332" t="s">
        <v>1023</v>
      </c>
      <c r="D332">
        <v>82</v>
      </c>
      <c r="E332" t="s">
        <v>797</v>
      </c>
      <c r="F332" s="4" t="s">
        <v>135</v>
      </c>
      <c r="G332" s="4" t="str">
        <f>IFERROR(VLOOKUP(C332,'Registre maintenance'!B:F,2,FALSE),"Non trouvé")</f>
        <v>Lualaba</v>
      </c>
      <c r="H332">
        <f>IFERROR(VLOOKUP(C332,'Registre maintenance'!B:F,3,FALSE),"Non trouvé")</f>
        <v>4.0157999999999996</v>
      </c>
      <c r="I332">
        <f>IFERROR(VLOOKUP(C332,'Registre maintenance'!B:F,4,FALSE),"Non trouvé")</f>
        <v>21.430246</v>
      </c>
      <c r="J332" t="str">
        <f>IFERROR(VLOOKUP(C332,'Registre maintenance'!B:F,5,FALSE),"Non trouvé")</f>
        <v>5G</v>
      </c>
      <c r="K332" t="str">
        <f t="shared" si="52"/>
        <v>OK</v>
      </c>
    </row>
    <row r="333" spans="1:11" x14ac:dyDescent="0.3">
      <c r="A333" t="s">
        <v>999</v>
      </c>
      <c r="B333" s="1">
        <v>45210.054166666669</v>
      </c>
      <c r="C333" t="s">
        <v>1025</v>
      </c>
      <c r="D333">
        <v>68</v>
      </c>
      <c r="E333" t="s">
        <v>797</v>
      </c>
      <c r="F333" s="4" t="str">
        <f>F332</f>
        <v>Lualaba</v>
      </c>
      <c r="G333" s="4" t="str">
        <f>IFERROR(VLOOKUP(C333,'Registre maintenance'!B:F,2,FALSE),"Non trouvé")</f>
        <v>Non trouvé</v>
      </c>
      <c r="H333" t="str">
        <f>IFERROR(VLOOKUP(C333,'Registre maintenance'!B:F,3,FALSE),"Non trouvé")</f>
        <v>Non trouvé</v>
      </c>
      <c r="I333" t="str">
        <f>IFERROR(VLOOKUP(C333,'Registre maintenance'!B:F,4,FALSE),"Non trouvé")</f>
        <v>Non trouvé</v>
      </c>
      <c r="J333" t="str">
        <f>IFERROR(VLOOKUP(C333,'Registre maintenance'!B:F,5,FALSE),"Non trouvé")</f>
        <v>Non trouvé</v>
      </c>
      <c r="K333" t="str">
        <f t="shared" si="52"/>
        <v>Mismatch</v>
      </c>
    </row>
    <row r="334" spans="1:11" x14ac:dyDescent="0.3">
      <c r="A334" t="s">
        <v>1119</v>
      </c>
      <c r="B334" s="1">
        <v>45220.811805555553</v>
      </c>
      <c r="C334" t="s">
        <v>1121</v>
      </c>
      <c r="D334">
        <v>100</v>
      </c>
      <c r="E334" t="s">
        <v>797</v>
      </c>
      <c r="F334" s="4" t="s">
        <v>50</v>
      </c>
      <c r="G334" s="4" t="str">
        <f>IFERROR(VLOOKUP(C334,'Registre maintenance'!B:F,2,FALSE),"Non trouvé")</f>
        <v>Kwilu</v>
      </c>
      <c r="H334">
        <f>IFERROR(VLOOKUP(C334,'Registre maintenance'!B:F,3,FALSE),"Non trouvé")</f>
        <v>-0.98830399999999996</v>
      </c>
      <c r="I334">
        <f>IFERROR(VLOOKUP(C334,'Registre maintenance'!B:F,4,FALSE),"Non trouvé")</f>
        <v>28.099966999999999</v>
      </c>
      <c r="J334" t="str">
        <f>IFERROR(VLOOKUP(C334,'Registre maintenance'!B:F,5,FALSE),"Non trouvé")</f>
        <v>3G</v>
      </c>
      <c r="K334" t="str">
        <f t="shared" si="52"/>
        <v>OK</v>
      </c>
    </row>
    <row r="335" spans="1:11" x14ac:dyDescent="0.3">
      <c r="A335" t="s">
        <v>999</v>
      </c>
      <c r="B335" s="1">
        <v>45204.314583333333</v>
      </c>
      <c r="C335" t="s">
        <v>1026</v>
      </c>
      <c r="D335">
        <v>120</v>
      </c>
      <c r="E335" t="s">
        <v>795</v>
      </c>
      <c r="F335" s="4" t="str">
        <f t="shared" ref="F335:F338" si="54">F334</f>
        <v>Kwilu</v>
      </c>
      <c r="G335" s="4" t="str">
        <f>IFERROR(VLOOKUP(C335,'Registre maintenance'!B:F,2,FALSE),"Non trouvé")</f>
        <v>Non trouvé</v>
      </c>
      <c r="H335" t="str">
        <f>IFERROR(VLOOKUP(C335,'Registre maintenance'!B:F,3,FALSE),"Non trouvé")</f>
        <v>Non trouvé</v>
      </c>
      <c r="I335" t="str">
        <f>IFERROR(VLOOKUP(C335,'Registre maintenance'!B:F,4,FALSE),"Non trouvé")</f>
        <v>Non trouvé</v>
      </c>
      <c r="J335" t="str">
        <f>IFERROR(VLOOKUP(C335,'Registre maintenance'!B:F,5,FALSE),"Non trouvé")</f>
        <v>Non trouvé</v>
      </c>
      <c r="K335" t="str">
        <f t="shared" si="52"/>
        <v>Mismatch</v>
      </c>
    </row>
    <row r="336" spans="1:11" x14ac:dyDescent="0.3">
      <c r="A336" t="s">
        <v>999</v>
      </c>
      <c r="B336" s="1">
        <v>45213.779861111107</v>
      </c>
      <c r="C336" t="s">
        <v>1027</v>
      </c>
      <c r="D336">
        <v>120</v>
      </c>
      <c r="E336" t="s">
        <v>792</v>
      </c>
      <c r="F336" s="4" t="str">
        <f t="shared" si="54"/>
        <v>Kwilu</v>
      </c>
      <c r="G336" s="4" t="str">
        <f>IFERROR(VLOOKUP(C336,'Registre maintenance'!B:F,2,FALSE),"Non trouvé")</f>
        <v>Non trouvé</v>
      </c>
      <c r="H336" t="str">
        <f>IFERROR(VLOOKUP(C336,'Registre maintenance'!B:F,3,FALSE),"Non trouvé")</f>
        <v>Non trouvé</v>
      </c>
      <c r="I336" t="str">
        <f>IFERROR(VLOOKUP(C336,'Registre maintenance'!B:F,4,FALSE),"Non trouvé")</f>
        <v>Non trouvé</v>
      </c>
      <c r="J336" t="str">
        <f>IFERROR(VLOOKUP(C336,'Registre maintenance'!B:F,5,FALSE),"Non trouvé")</f>
        <v>Non trouvé</v>
      </c>
      <c r="K336" t="str">
        <f t="shared" si="52"/>
        <v>Mismatch</v>
      </c>
    </row>
    <row r="337" spans="1:11" x14ac:dyDescent="0.3">
      <c r="A337" t="s">
        <v>999</v>
      </c>
      <c r="B337" s="1">
        <v>45229.756249999999</v>
      </c>
      <c r="C337" t="s">
        <v>1031</v>
      </c>
      <c r="D337">
        <v>82</v>
      </c>
      <c r="E337" t="s">
        <v>797</v>
      </c>
      <c r="F337" s="4" t="str">
        <f t="shared" si="54"/>
        <v>Kwilu</v>
      </c>
      <c r="G337" s="4" t="str">
        <f>IFERROR(VLOOKUP(C337,'Registre maintenance'!B:F,2,FALSE),"Non trouvé")</f>
        <v>Non trouvé</v>
      </c>
      <c r="H337" t="str">
        <f>IFERROR(VLOOKUP(C337,'Registre maintenance'!B:F,3,FALSE),"Non trouvé")</f>
        <v>Non trouvé</v>
      </c>
      <c r="I337" t="str">
        <f>IFERROR(VLOOKUP(C337,'Registre maintenance'!B:F,4,FALSE),"Non trouvé")</f>
        <v>Non trouvé</v>
      </c>
      <c r="J337" t="str">
        <f>IFERROR(VLOOKUP(C337,'Registre maintenance'!B:F,5,FALSE),"Non trouvé")</f>
        <v>Non trouvé</v>
      </c>
      <c r="K337" t="str">
        <f t="shared" si="52"/>
        <v>Mismatch</v>
      </c>
    </row>
    <row r="338" spans="1:11" x14ac:dyDescent="0.3">
      <c r="A338" t="s">
        <v>999</v>
      </c>
      <c r="B338" s="1">
        <v>45208.594444444447</v>
      </c>
      <c r="C338" t="s">
        <v>1032</v>
      </c>
      <c r="D338">
        <v>50</v>
      </c>
      <c r="E338" t="s">
        <v>792</v>
      </c>
      <c r="F338" s="4" t="str">
        <f t="shared" si="54"/>
        <v>Kwilu</v>
      </c>
      <c r="G338" s="4" t="str">
        <f>IFERROR(VLOOKUP(C338,'Registre maintenance'!B:F,2,FALSE),"Non trouvé")</f>
        <v>Non trouvé</v>
      </c>
      <c r="H338" t="str">
        <f>IFERROR(VLOOKUP(C338,'Registre maintenance'!B:F,3,FALSE),"Non trouvé")</f>
        <v>Non trouvé</v>
      </c>
      <c r="I338" t="str">
        <f>IFERROR(VLOOKUP(C338,'Registre maintenance'!B:F,4,FALSE),"Non trouvé")</f>
        <v>Non trouvé</v>
      </c>
      <c r="J338" t="str">
        <f>IFERROR(VLOOKUP(C338,'Registre maintenance'!B:F,5,FALSE),"Non trouvé")</f>
        <v>Non trouvé</v>
      </c>
      <c r="K338" t="str">
        <f t="shared" si="52"/>
        <v>Mismatch</v>
      </c>
    </row>
    <row r="339" spans="1:11" x14ac:dyDescent="0.3">
      <c r="A339" t="s">
        <v>1059</v>
      </c>
      <c r="B339" s="1">
        <v>45223.450694444437</v>
      </c>
      <c r="C339" t="s">
        <v>1075</v>
      </c>
      <c r="D339">
        <v>14</v>
      </c>
      <c r="E339" t="s">
        <v>797</v>
      </c>
      <c r="F339" s="4" t="s">
        <v>12</v>
      </c>
      <c r="G339" s="4" t="str">
        <f>IFERROR(VLOOKUP(C339,'Registre maintenance'!B:F,2,FALSE),"Non trouvé")</f>
        <v>Tshuapa</v>
      </c>
      <c r="H339">
        <f>IFERROR(VLOOKUP(C339,'Registre maintenance'!B:F,3,FALSE),"Non trouvé")</f>
        <v>-2.571777</v>
      </c>
      <c r="I339">
        <f>IFERROR(VLOOKUP(C339,'Registre maintenance'!B:F,4,FALSE),"Non trouvé")</f>
        <v>12.120642</v>
      </c>
      <c r="J339" t="str">
        <f>IFERROR(VLOOKUP(C339,'Registre maintenance'!B:F,5,FALSE),"Non trouvé")</f>
        <v>3G</v>
      </c>
      <c r="K339" t="str">
        <f t="shared" si="52"/>
        <v>OK</v>
      </c>
    </row>
    <row r="340" spans="1:11" x14ac:dyDescent="0.3">
      <c r="A340" t="s">
        <v>999</v>
      </c>
      <c r="B340" s="1">
        <v>45205.102777777778</v>
      </c>
      <c r="C340" t="s">
        <v>1034</v>
      </c>
      <c r="D340">
        <v>84</v>
      </c>
      <c r="E340" t="s">
        <v>797</v>
      </c>
      <c r="F340" s="4" t="str">
        <f t="shared" ref="F340:F342" si="55">F339</f>
        <v>Tshuapa</v>
      </c>
      <c r="G340" s="4" t="str">
        <f>IFERROR(VLOOKUP(C340,'Registre maintenance'!B:F,2,FALSE),"Non trouvé")</f>
        <v>Non trouvé</v>
      </c>
      <c r="H340" t="str">
        <f>IFERROR(VLOOKUP(C340,'Registre maintenance'!B:F,3,FALSE),"Non trouvé")</f>
        <v>Non trouvé</v>
      </c>
      <c r="I340" t="str">
        <f>IFERROR(VLOOKUP(C340,'Registre maintenance'!B:F,4,FALSE),"Non trouvé")</f>
        <v>Non trouvé</v>
      </c>
      <c r="J340" t="str">
        <f>IFERROR(VLOOKUP(C340,'Registre maintenance'!B:F,5,FALSE),"Non trouvé")</f>
        <v>Non trouvé</v>
      </c>
      <c r="K340" t="str">
        <f t="shared" si="52"/>
        <v>Mismatch</v>
      </c>
    </row>
    <row r="341" spans="1:11" x14ac:dyDescent="0.3">
      <c r="A341" t="s">
        <v>999</v>
      </c>
      <c r="B341" s="1">
        <v>45209.852083333331</v>
      </c>
      <c r="C341" t="s">
        <v>1036</v>
      </c>
      <c r="D341">
        <v>91</v>
      </c>
      <c r="E341" t="s">
        <v>797</v>
      </c>
      <c r="F341" s="4" t="str">
        <f t="shared" si="55"/>
        <v>Tshuapa</v>
      </c>
      <c r="G341" s="4" t="str">
        <f>IFERROR(VLOOKUP(C341,'Registre maintenance'!B:F,2,FALSE),"Non trouvé")</f>
        <v>Non trouvé</v>
      </c>
      <c r="H341" t="str">
        <f>IFERROR(VLOOKUP(C341,'Registre maintenance'!B:F,3,FALSE),"Non trouvé")</f>
        <v>Non trouvé</v>
      </c>
      <c r="I341" t="str">
        <f>IFERROR(VLOOKUP(C341,'Registre maintenance'!B:F,4,FALSE),"Non trouvé")</f>
        <v>Non trouvé</v>
      </c>
      <c r="J341" t="str">
        <f>IFERROR(VLOOKUP(C341,'Registre maintenance'!B:F,5,FALSE),"Non trouvé")</f>
        <v>Non trouvé</v>
      </c>
      <c r="K341" t="str">
        <f t="shared" si="52"/>
        <v>Mismatch</v>
      </c>
    </row>
    <row r="342" spans="1:11" x14ac:dyDescent="0.3">
      <c r="A342" t="s">
        <v>1038</v>
      </c>
      <c r="B342" s="1">
        <v>45207.713888888888</v>
      </c>
      <c r="C342" t="s">
        <v>1039</v>
      </c>
      <c r="D342">
        <v>99</v>
      </c>
      <c r="E342" t="s">
        <v>795</v>
      </c>
      <c r="F342" s="4" t="str">
        <f t="shared" si="55"/>
        <v>Tshuapa</v>
      </c>
      <c r="G342" s="4" t="str">
        <f>IFERROR(VLOOKUP(C342,'Registre maintenance'!B:F,2,FALSE),"Non trouvé")</f>
        <v>Non trouvé</v>
      </c>
      <c r="H342" t="str">
        <f>IFERROR(VLOOKUP(C342,'Registre maintenance'!B:F,3,FALSE),"Non trouvé")</f>
        <v>Non trouvé</v>
      </c>
      <c r="I342" t="str">
        <f>IFERROR(VLOOKUP(C342,'Registre maintenance'!B:F,4,FALSE),"Non trouvé")</f>
        <v>Non trouvé</v>
      </c>
      <c r="J342" t="str">
        <f>IFERROR(VLOOKUP(C342,'Registre maintenance'!B:F,5,FALSE),"Non trouvé")</f>
        <v>Non trouvé</v>
      </c>
      <c r="K342" t="str">
        <f t="shared" si="52"/>
        <v>Mismatch</v>
      </c>
    </row>
    <row r="343" spans="1:11" x14ac:dyDescent="0.3">
      <c r="A343" t="s">
        <v>1084</v>
      </c>
      <c r="B343" s="1">
        <v>45221.505555555559</v>
      </c>
      <c r="C343" t="s">
        <v>1106</v>
      </c>
      <c r="D343">
        <v>51</v>
      </c>
      <c r="E343" t="s">
        <v>792</v>
      </c>
      <c r="F343" s="4" t="s">
        <v>15</v>
      </c>
      <c r="G343" s="4" t="str">
        <f>IFERROR(VLOOKUP(C343,'Registre maintenance'!B:F,2,FALSE),"Non trouvé")</f>
        <v>Mongala</v>
      </c>
      <c r="H343">
        <f>IFERROR(VLOOKUP(C343,'Registre maintenance'!B:F,3,FALSE),"Non trouvé")</f>
        <v>-1.231033</v>
      </c>
      <c r="I343">
        <f>IFERROR(VLOOKUP(C343,'Registre maintenance'!B:F,4,FALSE),"Non trouvé")</f>
        <v>28.851388</v>
      </c>
      <c r="J343" t="str">
        <f>IFERROR(VLOOKUP(C343,'Registre maintenance'!B:F,5,FALSE),"Non trouvé")</f>
        <v>3G</v>
      </c>
      <c r="K343" t="str">
        <f t="shared" si="52"/>
        <v>OK</v>
      </c>
    </row>
    <row r="344" spans="1:11" x14ac:dyDescent="0.3">
      <c r="A344" t="s">
        <v>1038</v>
      </c>
      <c r="B344" s="1">
        <v>45221.988888888889</v>
      </c>
      <c r="C344" t="s">
        <v>1040</v>
      </c>
      <c r="D344">
        <v>72</v>
      </c>
      <c r="E344" t="s">
        <v>795</v>
      </c>
      <c r="F344" s="4" t="str">
        <f t="shared" ref="F344:F351" si="56">F343</f>
        <v>Mongala</v>
      </c>
      <c r="G344" s="4" t="str">
        <f>IFERROR(VLOOKUP(C344,'Registre maintenance'!B:F,2,FALSE),"Non trouvé")</f>
        <v>Non trouvé</v>
      </c>
      <c r="H344" t="str">
        <f>IFERROR(VLOOKUP(C344,'Registre maintenance'!B:F,3,FALSE),"Non trouvé")</f>
        <v>Non trouvé</v>
      </c>
      <c r="I344" t="str">
        <f>IFERROR(VLOOKUP(C344,'Registre maintenance'!B:F,4,FALSE),"Non trouvé")</f>
        <v>Non trouvé</v>
      </c>
      <c r="J344" t="str">
        <f>IFERROR(VLOOKUP(C344,'Registre maintenance'!B:F,5,FALSE),"Non trouvé")</f>
        <v>Non trouvé</v>
      </c>
      <c r="K344" t="str">
        <f t="shared" si="52"/>
        <v>Mismatch</v>
      </c>
    </row>
    <row r="345" spans="1:11" x14ac:dyDescent="0.3">
      <c r="A345" t="s">
        <v>1038</v>
      </c>
      <c r="B345" s="1">
        <v>45201.427083333343</v>
      </c>
      <c r="C345" t="s">
        <v>1040</v>
      </c>
      <c r="D345">
        <v>98</v>
      </c>
      <c r="E345" t="s">
        <v>795</v>
      </c>
      <c r="F345" s="4" t="str">
        <f t="shared" si="56"/>
        <v>Mongala</v>
      </c>
      <c r="G345" s="4" t="str">
        <f>IFERROR(VLOOKUP(C345,'Registre maintenance'!B:F,2,FALSE),"Non trouvé")</f>
        <v>Non trouvé</v>
      </c>
      <c r="H345" t="str">
        <f>IFERROR(VLOOKUP(C345,'Registre maintenance'!B:F,3,FALSE),"Non trouvé")</f>
        <v>Non trouvé</v>
      </c>
      <c r="I345" t="str">
        <f>IFERROR(VLOOKUP(C345,'Registre maintenance'!B:F,4,FALSE),"Non trouvé")</f>
        <v>Non trouvé</v>
      </c>
      <c r="J345" t="str">
        <f>IFERROR(VLOOKUP(C345,'Registre maintenance'!B:F,5,FALSE),"Non trouvé")</f>
        <v>Non trouvé</v>
      </c>
      <c r="K345" t="str">
        <f t="shared" si="52"/>
        <v>Mismatch</v>
      </c>
    </row>
    <row r="346" spans="1:11" x14ac:dyDescent="0.3">
      <c r="A346" t="s">
        <v>1038</v>
      </c>
      <c r="B346" s="1">
        <v>45218.990277777782</v>
      </c>
      <c r="C346" t="s">
        <v>1041</v>
      </c>
      <c r="D346">
        <v>100</v>
      </c>
      <c r="E346" t="s">
        <v>792</v>
      </c>
      <c r="F346" s="4" t="str">
        <f t="shared" si="56"/>
        <v>Mongala</v>
      </c>
      <c r="G346" s="4" t="str">
        <f>IFERROR(VLOOKUP(C346,'Registre maintenance'!B:F,2,FALSE),"Non trouvé")</f>
        <v>Non trouvé</v>
      </c>
      <c r="H346" t="str">
        <f>IFERROR(VLOOKUP(C346,'Registre maintenance'!B:F,3,FALSE),"Non trouvé")</f>
        <v>Non trouvé</v>
      </c>
      <c r="I346" t="str">
        <f>IFERROR(VLOOKUP(C346,'Registre maintenance'!B:F,4,FALSE),"Non trouvé")</f>
        <v>Non trouvé</v>
      </c>
      <c r="J346" t="str">
        <f>IFERROR(VLOOKUP(C346,'Registre maintenance'!B:F,5,FALSE),"Non trouvé")</f>
        <v>Non trouvé</v>
      </c>
      <c r="K346" t="str">
        <f t="shared" si="52"/>
        <v>Mismatch</v>
      </c>
    </row>
    <row r="347" spans="1:11" x14ac:dyDescent="0.3">
      <c r="A347" t="s">
        <v>1119</v>
      </c>
      <c r="B347" s="1">
        <v>45207.379861111112</v>
      </c>
      <c r="C347" t="s">
        <v>1041</v>
      </c>
      <c r="D347">
        <v>118</v>
      </c>
      <c r="E347" t="s">
        <v>797</v>
      </c>
      <c r="F347" s="4" t="str">
        <f t="shared" si="56"/>
        <v>Mongala</v>
      </c>
      <c r="G347" s="4" t="str">
        <f>IFERROR(VLOOKUP(C347,'Registre maintenance'!B:F,2,FALSE),"Non trouvé")</f>
        <v>Non trouvé</v>
      </c>
      <c r="H347" t="str">
        <f>IFERROR(VLOOKUP(C347,'Registre maintenance'!B:F,3,FALSE),"Non trouvé")</f>
        <v>Non trouvé</v>
      </c>
      <c r="I347" t="str">
        <f>IFERROR(VLOOKUP(C347,'Registre maintenance'!B:F,4,FALSE),"Non trouvé")</f>
        <v>Non trouvé</v>
      </c>
      <c r="J347" t="str">
        <f>IFERROR(VLOOKUP(C347,'Registre maintenance'!B:F,5,FALSE),"Non trouvé")</f>
        <v>Non trouvé</v>
      </c>
      <c r="K347" t="str">
        <f t="shared" si="52"/>
        <v>Mismatch</v>
      </c>
    </row>
    <row r="348" spans="1:11" x14ac:dyDescent="0.3">
      <c r="A348" t="s">
        <v>1038</v>
      </c>
      <c r="B348" s="1">
        <v>45204.570138888892</v>
      </c>
      <c r="C348" t="s">
        <v>1042</v>
      </c>
      <c r="D348">
        <v>13</v>
      </c>
      <c r="E348" t="s">
        <v>797</v>
      </c>
      <c r="F348" s="4" t="str">
        <f t="shared" si="56"/>
        <v>Mongala</v>
      </c>
      <c r="G348" s="4" t="str">
        <f>IFERROR(VLOOKUP(C348,'Registre maintenance'!B:F,2,FALSE),"Non trouvé")</f>
        <v>Non trouvé</v>
      </c>
      <c r="H348" t="str">
        <f>IFERROR(VLOOKUP(C348,'Registre maintenance'!B:F,3,FALSE),"Non trouvé")</f>
        <v>Non trouvé</v>
      </c>
      <c r="I348" t="str">
        <f>IFERROR(VLOOKUP(C348,'Registre maintenance'!B:F,4,FALSE),"Non trouvé")</f>
        <v>Non trouvé</v>
      </c>
      <c r="J348" t="str">
        <f>IFERROR(VLOOKUP(C348,'Registre maintenance'!B:F,5,FALSE),"Non trouvé")</f>
        <v>Non trouvé</v>
      </c>
      <c r="K348" t="str">
        <f t="shared" si="52"/>
        <v>Mismatch</v>
      </c>
    </row>
    <row r="349" spans="1:11" x14ac:dyDescent="0.3">
      <c r="A349" t="s">
        <v>1038</v>
      </c>
      <c r="B349" s="1">
        <v>45213.334722222222</v>
      </c>
      <c r="C349" t="s">
        <v>1044</v>
      </c>
      <c r="D349">
        <v>62</v>
      </c>
      <c r="E349" t="s">
        <v>792</v>
      </c>
      <c r="F349" s="4" t="str">
        <f t="shared" si="56"/>
        <v>Mongala</v>
      </c>
      <c r="G349" s="4" t="str">
        <f>IFERROR(VLOOKUP(C349,'Registre maintenance'!B:F,2,FALSE),"Non trouvé")</f>
        <v>Non trouvé</v>
      </c>
      <c r="H349" t="str">
        <f>IFERROR(VLOOKUP(C349,'Registre maintenance'!B:F,3,FALSE),"Non trouvé")</f>
        <v>Non trouvé</v>
      </c>
      <c r="I349" t="str">
        <f>IFERROR(VLOOKUP(C349,'Registre maintenance'!B:F,4,FALSE),"Non trouvé")</f>
        <v>Non trouvé</v>
      </c>
      <c r="J349" t="str">
        <f>IFERROR(VLOOKUP(C349,'Registre maintenance'!B:F,5,FALSE),"Non trouvé")</f>
        <v>Non trouvé</v>
      </c>
      <c r="K349" t="str">
        <f t="shared" si="52"/>
        <v>Mismatch</v>
      </c>
    </row>
    <row r="350" spans="1:11" x14ac:dyDescent="0.3">
      <c r="A350" t="s">
        <v>1038</v>
      </c>
      <c r="B350" s="1">
        <v>45222.467361111107</v>
      </c>
      <c r="C350" t="s">
        <v>1045</v>
      </c>
      <c r="D350">
        <v>104</v>
      </c>
      <c r="E350" t="s">
        <v>797</v>
      </c>
      <c r="F350" s="4" t="str">
        <f t="shared" si="56"/>
        <v>Mongala</v>
      </c>
      <c r="G350" s="4" t="str">
        <f>IFERROR(VLOOKUP(C350,'Registre maintenance'!B:F,2,FALSE),"Non trouvé")</f>
        <v>Non trouvé</v>
      </c>
      <c r="H350" t="str">
        <f>IFERROR(VLOOKUP(C350,'Registre maintenance'!B:F,3,FALSE),"Non trouvé")</f>
        <v>Non trouvé</v>
      </c>
      <c r="I350" t="str">
        <f>IFERROR(VLOOKUP(C350,'Registre maintenance'!B:F,4,FALSE),"Non trouvé")</f>
        <v>Non trouvé</v>
      </c>
      <c r="J350" t="str">
        <f>IFERROR(VLOOKUP(C350,'Registre maintenance'!B:F,5,FALSE),"Non trouvé")</f>
        <v>Non trouvé</v>
      </c>
      <c r="K350" t="str">
        <f t="shared" si="52"/>
        <v>Mismatch</v>
      </c>
    </row>
    <row r="351" spans="1:11" x14ac:dyDescent="0.3">
      <c r="A351" t="s">
        <v>1038</v>
      </c>
      <c r="B351" s="1">
        <v>45214.59375</v>
      </c>
      <c r="C351" t="s">
        <v>1046</v>
      </c>
      <c r="D351">
        <v>51</v>
      </c>
      <c r="E351" t="s">
        <v>797</v>
      </c>
      <c r="F351" s="4" t="str">
        <f t="shared" si="56"/>
        <v>Mongala</v>
      </c>
      <c r="G351" s="4" t="str">
        <f>IFERROR(VLOOKUP(C351,'Registre maintenance'!B:F,2,FALSE),"Non trouvé")</f>
        <v>Non trouvé</v>
      </c>
      <c r="H351" t="str">
        <f>IFERROR(VLOOKUP(C351,'Registre maintenance'!B:F,3,FALSE),"Non trouvé")</f>
        <v>Non trouvé</v>
      </c>
      <c r="I351" t="str">
        <f>IFERROR(VLOOKUP(C351,'Registre maintenance'!B:F,4,FALSE),"Non trouvé")</f>
        <v>Non trouvé</v>
      </c>
      <c r="J351" t="str">
        <f>IFERROR(VLOOKUP(C351,'Registre maintenance'!B:F,5,FALSE),"Non trouvé")</f>
        <v>Non trouvé</v>
      </c>
      <c r="K351" t="str">
        <f t="shared" si="52"/>
        <v>Mismatch</v>
      </c>
    </row>
    <row r="352" spans="1:11" x14ac:dyDescent="0.3">
      <c r="A352" t="s">
        <v>1059</v>
      </c>
      <c r="B352" s="1">
        <v>45205.191666666673</v>
      </c>
      <c r="C352" t="s">
        <v>1070</v>
      </c>
      <c r="D352">
        <v>34</v>
      </c>
      <c r="E352" t="s">
        <v>792</v>
      </c>
      <c r="F352" s="4" t="s">
        <v>34</v>
      </c>
      <c r="G352" s="4" t="str">
        <f>IFERROR(VLOOKUP(C352,'Registre maintenance'!B:F,2,FALSE),"Non trouvé")</f>
        <v>Sankuru</v>
      </c>
      <c r="H352">
        <f>IFERROR(VLOOKUP(C352,'Registre maintenance'!B:F,3,FALSE),"Non trouvé")</f>
        <v>-4.7886769999999999</v>
      </c>
      <c r="I352">
        <f>IFERROR(VLOOKUP(C352,'Registre maintenance'!B:F,4,FALSE),"Non trouvé")</f>
        <v>23.600221999999999</v>
      </c>
      <c r="J352" t="str">
        <f>IFERROR(VLOOKUP(C352,'Registre maintenance'!B:F,5,FALSE),"Non trouvé")</f>
        <v>3G</v>
      </c>
      <c r="K352" t="str">
        <f t="shared" si="52"/>
        <v>OK</v>
      </c>
    </row>
    <row r="353" spans="1:11" x14ac:dyDescent="0.3">
      <c r="A353" t="s">
        <v>1038</v>
      </c>
      <c r="B353" s="1">
        <v>45221.481944444437</v>
      </c>
      <c r="C353" t="s">
        <v>1047</v>
      </c>
      <c r="D353">
        <v>80</v>
      </c>
      <c r="E353" t="s">
        <v>797</v>
      </c>
      <c r="F353" s="4" t="str">
        <f t="shared" ref="F353:F357" si="57">F352</f>
        <v>Sankuru</v>
      </c>
      <c r="G353" s="4" t="str">
        <f>IFERROR(VLOOKUP(C353,'Registre maintenance'!B:F,2,FALSE),"Non trouvé")</f>
        <v>Non trouvé</v>
      </c>
      <c r="H353" t="str">
        <f>IFERROR(VLOOKUP(C353,'Registre maintenance'!B:F,3,FALSE),"Non trouvé")</f>
        <v>Non trouvé</v>
      </c>
      <c r="I353" t="str">
        <f>IFERROR(VLOOKUP(C353,'Registre maintenance'!B:F,4,FALSE),"Non trouvé")</f>
        <v>Non trouvé</v>
      </c>
      <c r="J353" t="str">
        <f>IFERROR(VLOOKUP(C353,'Registre maintenance'!B:F,5,FALSE),"Non trouvé")</f>
        <v>Non trouvé</v>
      </c>
      <c r="K353" t="str">
        <f t="shared" si="52"/>
        <v>Mismatch</v>
      </c>
    </row>
    <row r="354" spans="1:11" x14ac:dyDescent="0.3">
      <c r="A354" t="s">
        <v>1038</v>
      </c>
      <c r="B354" s="1">
        <v>45228.848611111112</v>
      </c>
      <c r="C354" t="s">
        <v>1048</v>
      </c>
      <c r="D354">
        <v>18</v>
      </c>
      <c r="E354" t="s">
        <v>797</v>
      </c>
      <c r="F354" s="4" t="str">
        <f t="shared" si="57"/>
        <v>Sankuru</v>
      </c>
      <c r="G354" s="4" t="str">
        <f>IFERROR(VLOOKUP(C354,'Registre maintenance'!B:F,2,FALSE),"Non trouvé")</f>
        <v>Non trouvé</v>
      </c>
      <c r="H354" t="str">
        <f>IFERROR(VLOOKUP(C354,'Registre maintenance'!B:F,3,FALSE),"Non trouvé")</f>
        <v>Non trouvé</v>
      </c>
      <c r="I354" t="str">
        <f>IFERROR(VLOOKUP(C354,'Registre maintenance'!B:F,4,FALSE),"Non trouvé")</f>
        <v>Non trouvé</v>
      </c>
      <c r="J354" t="str">
        <f>IFERROR(VLOOKUP(C354,'Registre maintenance'!B:F,5,FALSE),"Non trouvé")</f>
        <v>Non trouvé</v>
      </c>
      <c r="K354" t="str">
        <f t="shared" si="52"/>
        <v>Mismatch</v>
      </c>
    </row>
    <row r="355" spans="1:11" x14ac:dyDescent="0.3">
      <c r="A355" t="s">
        <v>1038</v>
      </c>
      <c r="B355" s="1">
        <v>45206.162499999999</v>
      </c>
      <c r="C355" t="s">
        <v>1049</v>
      </c>
      <c r="D355">
        <v>69</v>
      </c>
      <c r="E355" t="s">
        <v>792</v>
      </c>
      <c r="F355" s="4" t="str">
        <f t="shared" si="57"/>
        <v>Sankuru</v>
      </c>
      <c r="G355" s="4" t="str">
        <f>IFERROR(VLOOKUP(C355,'Registre maintenance'!B:F,2,FALSE),"Non trouvé")</f>
        <v>Non trouvé</v>
      </c>
      <c r="H355" t="str">
        <f>IFERROR(VLOOKUP(C355,'Registre maintenance'!B:F,3,FALSE),"Non trouvé")</f>
        <v>Non trouvé</v>
      </c>
      <c r="I355" t="str">
        <f>IFERROR(VLOOKUP(C355,'Registre maintenance'!B:F,4,FALSE),"Non trouvé")</f>
        <v>Non trouvé</v>
      </c>
      <c r="J355" t="str">
        <f>IFERROR(VLOOKUP(C355,'Registre maintenance'!B:F,5,FALSE),"Non trouvé")</f>
        <v>Non trouvé</v>
      </c>
      <c r="K355" t="str">
        <f t="shared" si="52"/>
        <v>Mismatch</v>
      </c>
    </row>
    <row r="356" spans="1:11" x14ac:dyDescent="0.3">
      <c r="A356" t="s">
        <v>1038</v>
      </c>
      <c r="B356" s="1">
        <v>45204.759027777778</v>
      </c>
      <c r="C356" t="s">
        <v>1052</v>
      </c>
      <c r="D356">
        <v>105</v>
      </c>
      <c r="E356" t="s">
        <v>797</v>
      </c>
      <c r="F356" s="4" t="str">
        <f t="shared" si="57"/>
        <v>Sankuru</v>
      </c>
      <c r="G356" s="4" t="str">
        <f>IFERROR(VLOOKUP(C356,'Registre maintenance'!B:F,2,FALSE),"Non trouvé")</f>
        <v>Non trouvé</v>
      </c>
      <c r="H356" t="str">
        <f>IFERROR(VLOOKUP(C356,'Registre maintenance'!B:F,3,FALSE),"Non trouvé")</f>
        <v>Non trouvé</v>
      </c>
      <c r="I356" t="str">
        <f>IFERROR(VLOOKUP(C356,'Registre maintenance'!B:F,4,FALSE),"Non trouvé")</f>
        <v>Non trouvé</v>
      </c>
      <c r="J356" t="str">
        <f>IFERROR(VLOOKUP(C356,'Registre maintenance'!B:F,5,FALSE),"Non trouvé")</f>
        <v>Non trouvé</v>
      </c>
      <c r="K356" t="str">
        <f t="shared" si="52"/>
        <v>Mismatch</v>
      </c>
    </row>
    <row r="357" spans="1:11" x14ac:dyDescent="0.3">
      <c r="A357" t="s">
        <v>1059</v>
      </c>
      <c r="B357" s="1">
        <v>45227.724305555559</v>
      </c>
      <c r="C357" t="s">
        <v>1052</v>
      </c>
      <c r="D357">
        <v>20</v>
      </c>
      <c r="E357" t="s">
        <v>792</v>
      </c>
      <c r="F357" s="4" t="str">
        <f t="shared" si="57"/>
        <v>Sankuru</v>
      </c>
      <c r="G357" s="4" t="str">
        <f>IFERROR(VLOOKUP(C357,'Registre maintenance'!B:F,2,FALSE),"Non trouvé")</f>
        <v>Non trouvé</v>
      </c>
      <c r="H357" t="str">
        <f>IFERROR(VLOOKUP(C357,'Registre maintenance'!B:F,3,FALSE),"Non trouvé")</f>
        <v>Non trouvé</v>
      </c>
      <c r="I357" t="str">
        <f>IFERROR(VLOOKUP(C357,'Registre maintenance'!B:F,4,FALSE),"Non trouvé")</f>
        <v>Non trouvé</v>
      </c>
      <c r="J357" t="str">
        <f>IFERROR(VLOOKUP(C357,'Registre maintenance'!B:F,5,FALSE),"Non trouvé")</f>
        <v>Non trouvé</v>
      </c>
      <c r="K357" t="str">
        <f t="shared" si="52"/>
        <v>Mismatch</v>
      </c>
    </row>
    <row r="358" spans="1:11" x14ac:dyDescent="0.3">
      <c r="A358" t="s">
        <v>1038</v>
      </c>
      <c r="B358" s="1">
        <v>45218.286111111112</v>
      </c>
      <c r="C358" t="s">
        <v>1054</v>
      </c>
      <c r="D358">
        <v>89</v>
      </c>
      <c r="E358" t="s">
        <v>792</v>
      </c>
      <c r="F358" s="4" t="s">
        <v>39</v>
      </c>
      <c r="G358" s="4" t="str">
        <f>IFERROR(VLOOKUP(C358,'Registre maintenance'!B:F,2,FALSE),"Non trouvé")</f>
        <v>Kwango</v>
      </c>
      <c r="H358">
        <f>IFERROR(VLOOKUP(C358,'Registre maintenance'!B:F,3,FALSE),"Non trouvé")</f>
        <v>-7.5129409999999996</v>
      </c>
      <c r="I358">
        <f>IFERROR(VLOOKUP(C358,'Registre maintenance'!B:F,4,FALSE),"Non trouvé")</f>
        <v>18.701522000000001</v>
      </c>
      <c r="J358" t="str">
        <f>IFERROR(VLOOKUP(C358,'Registre maintenance'!B:F,5,FALSE),"Non trouvé")</f>
        <v>4G</v>
      </c>
      <c r="K358" t="str">
        <f t="shared" si="52"/>
        <v>OK</v>
      </c>
    </row>
    <row r="359" spans="1:11" x14ac:dyDescent="0.3">
      <c r="A359" t="s">
        <v>1038</v>
      </c>
      <c r="B359" s="1">
        <v>45217.368750000001</v>
      </c>
      <c r="C359" t="s">
        <v>1055</v>
      </c>
      <c r="D359">
        <v>8</v>
      </c>
      <c r="E359" t="s">
        <v>792</v>
      </c>
      <c r="F359" s="4" t="str">
        <f t="shared" ref="F359:F369" si="58">F358</f>
        <v>Kwango</v>
      </c>
      <c r="G359" s="4" t="str">
        <f>IFERROR(VLOOKUP(C359,'Registre maintenance'!B:F,2,FALSE),"Non trouvé")</f>
        <v>Non trouvé</v>
      </c>
      <c r="H359" t="str">
        <f>IFERROR(VLOOKUP(C359,'Registre maintenance'!B:F,3,FALSE),"Non trouvé")</f>
        <v>Non trouvé</v>
      </c>
      <c r="I359" t="str">
        <f>IFERROR(VLOOKUP(C359,'Registre maintenance'!B:F,4,FALSE),"Non trouvé")</f>
        <v>Non trouvé</v>
      </c>
      <c r="J359" t="str">
        <f>IFERROR(VLOOKUP(C359,'Registre maintenance'!B:F,5,FALSE),"Non trouvé")</f>
        <v>Non trouvé</v>
      </c>
      <c r="K359" t="str">
        <f t="shared" si="52"/>
        <v>Mismatch</v>
      </c>
    </row>
    <row r="360" spans="1:11" x14ac:dyDescent="0.3">
      <c r="A360" t="s">
        <v>1084</v>
      </c>
      <c r="B360" s="1">
        <v>45219.181250000001</v>
      </c>
      <c r="C360" t="s">
        <v>1055</v>
      </c>
      <c r="D360">
        <v>97</v>
      </c>
      <c r="E360" t="s">
        <v>795</v>
      </c>
      <c r="F360" s="4" t="str">
        <f t="shared" si="58"/>
        <v>Kwango</v>
      </c>
      <c r="G360" s="4" t="str">
        <f>IFERROR(VLOOKUP(C360,'Registre maintenance'!B:F,2,FALSE),"Non trouvé")</f>
        <v>Non trouvé</v>
      </c>
      <c r="H360" t="str">
        <f>IFERROR(VLOOKUP(C360,'Registre maintenance'!B:F,3,FALSE),"Non trouvé")</f>
        <v>Non trouvé</v>
      </c>
      <c r="I360" t="str">
        <f>IFERROR(VLOOKUP(C360,'Registre maintenance'!B:F,4,FALSE),"Non trouvé")</f>
        <v>Non trouvé</v>
      </c>
      <c r="J360" t="str">
        <f>IFERROR(VLOOKUP(C360,'Registre maintenance'!B:F,5,FALSE),"Non trouvé")</f>
        <v>Non trouvé</v>
      </c>
      <c r="K360" t="str">
        <f t="shared" si="52"/>
        <v>Mismatch</v>
      </c>
    </row>
    <row r="361" spans="1:11" x14ac:dyDescent="0.3">
      <c r="A361" t="s">
        <v>1038</v>
      </c>
      <c r="B361" s="1">
        <v>45227.005555555559</v>
      </c>
      <c r="C361" t="s">
        <v>1056</v>
      </c>
      <c r="D361">
        <v>66</v>
      </c>
      <c r="E361" t="s">
        <v>797</v>
      </c>
      <c r="F361" s="4" t="str">
        <f t="shared" si="58"/>
        <v>Kwango</v>
      </c>
      <c r="G361" s="4" t="str">
        <f>IFERROR(VLOOKUP(C361,'Registre maintenance'!B:F,2,FALSE),"Non trouvé")</f>
        <v>Non trouvé</v>
      </c>
      <c r="H361" t="str">
        <f>IFERROR(VLOOKUP(C361,'Registre maintenance'!B:F,3,FALSE),"Non trouvé")</f>
        <v>Non trouvé</v>
      </c>
      <c r="I361" t="str">
        <f>IFERROR(VLOOKUP(C361,'Registre maintenance'!B:F,4,FALSE),"Non trouvé")</f>
        <v>Non trouvé</v>
      </c>
      <c r="J361" t="str">
        <f>IFERROR(VLOOKUP(C361,'Registre maintenance'!B:F,5,FALSE),"Non trouvé")</f>
        <v>Non trouvé</v>
      </c>
      <c r="K361" t="str">
        <f t="shared" si="52"/>
        <v>Mismatch</v>
      </c>
    </row>
    <row r="362" spans="1:11" x14ac:dyDescent="0.3">
      <c r="A362" t="s">
        <v>1038</v>
      </c>
      <c r="B362" s="1">
        <v>45200.493055555547</v>
      </c>
      <c r="C362" t="s">
        <v>1057</v>
      </c>
      <c r="D362">
        <v>113</v>
      </c>
      <c r="E362" t="s">
        <v>792</v>
      </c>
      <c r="F362" s="4" t="str">
        <f t="shared" si="58"/>
        <v>Kwango</v>
      </c>
      <c r="G362" s="4" t="str">
        <f>IFERROR(VLOOKUP(C362,'Registre maintenance'!B:F,2,FALSE),"Non trouvé")</f>
        <v>Non trouvé</v>
      </c>
      <c r="H362" t="str">
        <f>IFERROR(VLOOKUP(C362,'Registre maintenance'!B:F,3,FALSE),"Non trouvé")</f>
        <v>Non trouvé</v>
      </c>
      <c r="I362" t="str">
        <f>IFERROR(VLOOKUP(C362,'Registre maintenance'!B:F,4,FALSE),"Non trouvé")</f>
        <v>Non trouvé</v>
      </c>
      <c r="J362" t="str">
        <f>IFERROR(VLOOKUP(C362,'Registre maintenance'!B:F,5,FALSE),"Non trouvé")</f>
        <v>Non trouvé</v>
      </c>
      <c r="K362" t="str">
        <f t="shared" si="52"/>
        <v>Mismatch</v>
      </c>
    </row>
    <row r="363" spans="1:11" x14ac:dyDescent="0.3">
      <c r="A363" t="s">
        <v>1038</v>
      </c>
      <c r="B363" s="1">
        <v>45210.007638888892</v>
      </c>
      <c r="C363" t="s">
        <v>1058</v>
      </c>
      <c r="D363">
        <v>59</v>
      </c>
      <c r="E363" t="s">
        <v>795</v>
      </c>
      <c r="F363" s="4" t="str">
        <f t="shared" si="58"/>
        <v>Kwango</v>
      </c>
      <c r="G363" s="4" t="str">
        <f>IFERROR(VLOOKUP(C363,'Registre maintenance'!B:F,2,FALSE),"Non trouvé")</f>
        <v>Non trouvé</v>
      </c>
      <c r="H363" t="str">
        <f>IFERROR(VLOOKUP(C363,'Registre maintenance'!B:F,3,FALSE),"Non trouvé")</f>
        <v>Non trouvé</v>
      </c>
      <c r="I363" t="str">
        <f>IFERROR(VLOOKUP(C363,'Registre maintenance'!B:F,4,FALSE),"Non trouvé")</f>
        <v>Non trouvé</v>
      </c>
      <c r="J363" t="str">
        <f>IFERROR(VLOOKUP(C363,'Registre maintenance'!B:F,5,FALSE),"Non trouvé")</f>
        <v>Non trouvé</v>
      </c>
      <c r="K363" t="str">
        <f t="shared" si="52"/>
        <v>Mismatch</v>
      </c>
    </row>
    <row r="364" spans="1:11" x14ac:dyDescent="0.3">
      <c r="A364" t="s">
        <v>1059</v>
      </c>
      <c r="B364" s="1">
        <v>45209.462500000001</v>
      </c>
      <c r="C364" t="s">
        <v>1058</v>
      </c>
      <c r="D364">
        <v>102</v>
      </c>
      <c r="E364" t="s">
        <v>797</v>
      </c>
      <c r="F364" s="4" t="str">
        <f t="shared" si="58"/>
        <v>Kwango</v>
      </c>
      <c r="G364" s="4" t="str">
        <f>IFERROR(VLOOKUP(C364,'Registre maintenance'!B:F,2,FALSE),"Non trouvé")</f>
        <v>Non trouvé</v>
      </c>
      <c r="H364" t="str">
        <f>IFERROR(VLOOKUP(C364,'Registre maintenance'!B:F,3,FALSE),"Non trouvé")</f>
        <v>Non trouvé</v>
      </c>
      <c r="I364" t="str">
        <f>IFERROR(VLOOKUP(C364,'Registre maintenance'!B:F,4,FALSE),"Non trouvé")</f>
        <v>Non trouvé</v>
      </c>
      <c r="J364" t="str">
        <f>IFERROR(VLOOKUP(C364,'Registre maintenance'!B:F,5,FALSE),"Non trouvé")</f>
        <v>Non trouvé</v>
      </c>
      <c r="K364" t="str">
        <f t="shared" si="52"/>
        <v>Mismatch</v>
      </c>
    </row>
    <row r="365" spans="1:11" x14ac:dyDescent="0.3">
      <c r="A365" t="s">
        <v>1059</v>
      </c>
      <c r="B365" s="1">
        <v>45211.908333333333</v>
      </c>
      <c r="C365" t="s">
        <v>1060</v>
      </c>
      <c r="D365">
        <v>32</v>
      </c>
      <c r="E365" t="s">
        <v>795</v>
      </c>
      <c r="F365" s="4" t="str">
        <f t="shared" si="58"/>
        <v>Kwango</v>
      </c>
      <c r="G365" s="4" t="str">
        <f>IFERROR(VLOOKUP(C365,'Registre maintenance'!B:F,2,FALSE),"Non trouvé")</f>
        <v>Non trouvé</v>
      </c>
      <c r="H365" t="str">
        <f>IFERROR(VLOOKUP(C365,'Registre maintenance'!B:F,3,FALSE),"Non trouvé")</f>
        <v>Non trouvé</v>
      </c>
      <c r="I365" t="str">
        <f>IFERROR(VLOOKUP(C365,'Registre maintenance'!B:F,4,FALSE),"Non trouvé")</f>
        <v>Non trouvé</v>
      </c>
      <c r="J365" t="str">
        <f>IFERROR(VLOOKUP(C365,'Registre maintenance'!B:F,5,FALSE),"Non trouvé")</f>
        <v>Non trouvé</v>
      </c>
      <c r="K365" t="str">
        <f t="shared" si="52"/>
        <v>Mismatch</v>
      </c>
    </row>
    <row r="366" spans="1:11" x14ac:dyDescent="0.3">
      <c r="A366" t="s">
        <v>1059</v>
      </c>
      <c r="B366" s="1">
        <v>45213.960416666669</v>
      </c>
      <c r="C366" t="s">
        <v>1061</v>
      </c>
      <c r="D366">
        <v>103</v>
      </c>
      <c r="E366" t="s">
        <v>795</v>
      </c>
      <c r="F366" s="4" t="str">
        <f t="shared" si="58"/>
        <v>Kwango</v>
      </c>
      <c r="G366" s="4" t="str">
        <f>IFERROR(VLOOKUP(C366,'Registre maintenance'!B:F,2,FALSE),"Non trouvé")</f>
        <v>Non trouvé</v>
      </c>
      <c r="H366" t="str">
        <f>IFERROR(VLOOKUP(C366,'Registre maintenance'!B:F,3,FALSE),"Non trouvé")</f>
        <v>Non trouvé</v>
      </c>
      <c r="I366" t="str">
        <f>IFERROR(VLOOKUP(C366,'Registre maintenance'!B:F,4,FALSE),"Non trouvé")</f>
        <v>Non trouvé</v>
      </c>
      <c r="J366" t="str">
        <f>IFERROR(VLOOKUP(C366,'Registre maintenance'!B:F,5,FALSE),"Non trouvé")</f>
        <v>Non trouvé</v>
      </c>
      <c r="K366" t="str">
        <f t="shared" si="52"/>
        <v>Mismatch</v>
      </c>
    </row>
    <row r="367" spans="1:11" x14ac:dyDescent="0.3">
      <c r="A367" t="s">
        <v>1059</v>
      </c>
      <c r="B367" s="1">
        <v>45204.895833333343</v>
      </c>
      <c r="C367" t="s">
        <v>1062</v>
      </c>
      <c r="D367">
        <v>42</v>
      </c>
      <c r="E367" t="s">
        <v>795</v>
      </c>
      <c r="F367" s="4" t="str">
        <f t="shared" si="58"/>
        <v>Kwango</v>
      </c>
      <c r="G367" s="4" t="str">
        <f>IFERROR(VLOOKUP(C367,'Registre maintenance'!B:F,2,FALSE),"Non trouvé")</f>
        <v>Non trouvé</v>
      </c>
      <c r="H367" t="str">
        <f>IFERROR(VLOOKUP(C367,'Registre maintenance'!B:F,3,FALSE),"Non trouvé")</f>
        <v>Non trouvé</v>
      </c>
      <c r="I367" t="str">
        <f>IFERROR(VLOOKUP(C367,'Registre maintenance'!B:F,4,FALSE),"Non trouvé")</f>
        <v>Non trouvé</v>
      </c>
      <c r="J367" t="str">
        <f>IFERROR(VLOOKUP(C367,'Registre maintenance'!B:F,5,FALSE),"Non trouvé")</f>
        <v>Non trouvé</v>
      </c>
      <c r="K367" t="str">
        <f t="shared" si="52"/>
        <v>Mismatch</v>
      </c>
    </row>
    <row r="368" spans="1:11" x14ac:dyDescent="0.3">
      <c r="A368" t="s">
        <v>1059</v>
      </c>
      <c r="B368" s="1">
        <v>45203.35833333333</v>
      </c>
      <c r="C368" t="s">
        <v>1064</v>
      </c>
      <c r="D368">
        <v>5</v>
      </c>
      <c r="E368" t="s">
        <v>792</v>
      </c>
      <c r="F368" s="4" t="str">
        <f t="shared" si="58"/>
        <v>Kwango</v>
      </c>
      <c r="G368" s="4" t="str">
        <f>IFERROR(VLOOKUP(C368,'Registre maintenance'!B:F,2,FALSE),"Non trouvé")</f>
        <v>Non trouvé</v>
      </c>
      <c r="H368" t="str">
        <f>IFERROR(VLOOKUP(C368,'Registre maintenance'!B:F,3,FALSE),"Non trouvé")</f>
        <v>Non trouvé</v>
      </c>
      <c r="I368" t="str">
        <f>IFERROR(VLOOKUP(C368,'Registre maintenance'!B:F,4,FALSE),"Non trouvé")</f>
        <v>Non trouvé</v>
      </c>
      <c r="J368" t="str">
        <f>IFERROR(VLOOKUP(C368,'Registre maintenance'!B:F,5,FALSE),"Non trouvé")</f>
        <v>Non trouvé</v>
      </c>
      <c r="K368" t="str">
        <f t="shared" si="52"/>
        <v>Mismatch</v>
      </c>
    </row>
    <row r="369" spans="1:11" x14ac:dyDescent="0.3">
      <c r="A369" t="s">
        <v>1059</v>
      </c>
      <c r="B369" s="1">
        <v>45221.857638888891</v>
      </c>
      <c r="C369" t="s">
        <v>1066</v>
      </c>
      <c r="D369">
        <v>60</v>
      </c>
      <c r="E369" t="s">
        <v>797</v>
      </c>
      <c r="F369" s="4" t="str">
        <f t="shared" si="58"/>
        <v>Kwango</v>
      </c>
      <c r="G369" s="4" t="str">
        <f>IFERROR(VLOOKUP(C369,'Registre maintenance'!B:F,2,FALSE),"Non trouvé")</f>
        <v>Non trouvé</v>
      </c>
      <c r="H369" t="str">
        <f>IFERROR(VLOOKUP(C369,'Registre maintenance'!B:F,3,FALSE),"Non trouvé")</f>
        <v>Non trouvé</v>
      </c>
      <c r="I369" t="str">
        <f>IFERROR(VLOOKUP(C369,'Registre maintenance'!B:F,4,FALSE),"Non trouvé")</f>
        <v>Non trouvé</v>
      </c>
      <c r="J369" t="str">
        <f>IFERROR(VLOOKUP(C369,'Registre maintenance'!B:F,5,FALSE),"Non trouvé")</f>
        <v>Non trouvé</v>
      </c>
      <c r="K369" t="str">
        <f t="shared" si="52"/>
        <v>Mismatch</v>
      </c>
    </row>
    <row r="370" spans="1:11" x14ac:dyDescent="0.3">
      <c r="A370" t="s">
        <v>1059</v>
      </c>
      <c r="B370" s="1">
        <v>45222.415277777778</v>
      </c>
      <c r="C370" t="s">
        <v>1069</v>
      </c>
      <c r="D370">
        <v>73</v>
      </c>
      <c r="E370" t="s">
        <v>792</v>
      </c>
      <c r="F370" s="4" t="s">
        <v>87</v>
      </c>
      <c r="G370" s="4" t="str">
        <f>IFERROR(VLOOKUP(C370,'Registre maintenance'!B:F,2,FALSE),"Non trouvé")</f>
        <v>Nord-Ubangi</v>
      </c>
      <c r="H370">
        <f>IFERROR(VLOOKUP(C370,'Registre maintenance'!B:F,3,FALSE),"Non trouvé")</f>
        <v>-4.8128659999999996</v>
      </c>
      <c r="I370">
        <f>IFERROR(VLOOKUP(C370,'Registre maintenance'!B:F,4,FALSE),"Non trouvé")</f>
        <v>18.559304999999998</v>
      </c>
      <c r="J370" t="str">
        <f>IFERROR(VLOOKUP(C370,'Registre maintenance'!B:F,5,FALSE),"Non trouvé")</f>
        <v>5G</v>
      </c>
      <c r="K370" t="str">
        <f t="shared" si="52"/>
        <v>OK</v>
      </c>
    </row>
    <row r="371" spans="1:11" x14ac:dyDescent="0.3">
      <c r="A371" t="s">
        <v>1059</v>
      </c>
      <c r="B371" s="1">
        <v>45200.832638888889</v>
      </c>
      <c r="C371" t="s">
        <v>1067</v>
      </c>
      <c r="D371">
        <v>27</v>
      </c>
      <c r="E371" t="s">
        <v>792</v>
      </c>
      <c r="F371" s="4" t="str">
        <f t="shared" ref="F371:F377" si="59">F370</f>
        <v>Nord-Ubangi</v>
      </c>
      <c r="G371" s="4" t="str">
        <f>IFERROR(VLOOKUP(C371,'Registre maintenance'!B:F,2,FALSE),"Non trouvé")</f>
        <v>Non trouvé</v>
      </c>
      <c r="H371" t="str">
        <f>IFERROR(VLOOKUP(C371,'Registre maintenance'!B:F,3,FALSE),"Non trouvé")</f>
        <v>Non trouvé</v>
      </c>
      <c r="I371" t="str">
        <f>IFERROR(VLOOKUP(C371,'Registre maintenance'!B:F,4,FALSE),"Non trouvé")</f>
        <v>Non trouvé</v>
      </c>
      <c r="J371" t="str">
        <f>IFERROR(VLOOKUP(C371,'Registre maintenance'!B:F,5,FALSE),"Non trouvé")</f>
        <v>Non trouvé</v>
      </c>
      <c r="K371" t="str">
        <f t="shared" si="52"/>
        <v>Mismatch</v>
      </c>
    </row>
    <row r="372" spans="1:11" x14ac:dyDescent="0.3">
      <c r="A372" t="s">
        <v>1059</v>
      </c>
      <c r="B372" s="1">
        <v>45200.220138888893</v>
      </c>
      <c r="C372" t="s">
        <v>1068</v>
      </c>
      <c r="D372">
        <v>53</v>
      </c>
      <c r="E372" t="s">
        <v>795</v>
      </c>
      <c r="F372" s="4" t="str">
        <f t="shared" si="59"/>
        <v>Nord-Ubangi</v>
      </c>
      <c r="G372" s="4" t="str">
        <f>IFERROR(VLOOKUP(C372,'Registre maintenance'!B:F,2,FALSE),"Non trouvé")</f>
        <v>Non trouvé</v>
      </c>
      <c r="H372" t="str">
        <f>IFERROR(VLOOKUP(C372,'Registre maintenance'!B:F,3,FALSE),"Non trouvé")</f>
        <v>Non trouvé</v>
      </c>
      <c r="I372" t="str">
        <f>IFERROR(VLOOKUP(C372,'Registre maintenance'!B:F,4,FALSE),"Non trouvé")</f>
        <v>Non trouvé</v>
      </c>
      <c r="J372" t="str">
        <f>IFERROR(VLOOKUP(C372,'Registre maintenance'!B:F,5,FALSE),"Non trouvé")</f>
        <v>Non trouvé</v>
      </c>
      <c r="K372" t="str">
        <f t="shared" si="52"/>
        <v>Mismatch</v>
      </c>
    </row>
    <row r="373" spans="1:11" x14ac:dyDescent="0.3">
      <c r="A373" t="s">
        <v>1059</v>
      </c>
      <c r="B373" s="1">
        <v>45221.50277777778</v>
      </c>
      <c r="C373" t="s">
        <v>1071</v>
      </c>
      <c r="D373">
        <v>69</v>
      </c>
      <c r="E373" t="s">
        <v>792</v>
      </c>
      <c r="F373" s="4" t="str">
        <f t="shared" si="59"/>
        <v>Nord-Ubangi</v>
      </c>
      <c r="G373" s="4" t="str">
        <f>IFERROR(VLOOKUP(C373,'Registre maintenance'!B:F,2,FALSE),"Non trouvé")</f>
        <v>Non trouvé</v>
      </c>
      <c r="H373" t="str">
        <f>IFERROR(VLOOKUP(C373,'Registre maintenance'!B:F,3,FALSE),"Non trouvé")</f>
        <v>Non trouvé</v>
      </c>
      <c r="I373" t="str">
        <f>IFERROR(VLOOKUP(C373,'Registre maintenance'!B:F,4,FALSE),"Non trouvé")</f>
        <v>Non trouvé</v>
      </c>
      <c r="J373" t="str">
        <f>IFERROR(VLOOKUP(C373,'Registre maintenance'!B:F,5,FALSE),"Non trouvé")</f>
        <v>Non trouvé</v>
      </c>
      <c r="K373" t="str">
        <f t="shared" si="52"/>
        <v>Mismatch</v>
      </c>
    </row>
    <row r="374" spans="1:11" x14ac:dyDescent="0.3">
      <c r="A374" t="s">
        <v>1059</v>
      </c>
      <c r="B374" s="1">
        <v>45213.597916666673</v>
      </c>
      <c r="C374" t="s">
        <v>1073</v>
      </c>
      <c r="D374">
        <v>108</v>
      </c>
      <c r="E374" t="s">
        <v>795</v>
      </c>
      <c r="F374" s="4" t="str">
        <f t="shared" si="59"/>
        <v>Nord-Ubangi</v>
      </c>
      <c r="G374" s="4" t="str">
        <f>IFERROR(VLOOKUP(C374,'Registre maintenance'!B:F,2,FALSE),"Non trouvé")</f>
        <v>Non trouvé</v>
      </c>
      <c r="H374" t="str">
        <f>IFERROR(VLOOKUP(C374,'Registre maintenance'!B:F,3,FALSE),"Non trouvé")</f>
        <v>Non trouvé</v>
      </c>
      <c r="I374" t="str">
        <f>IFERROR(VLOOKUP(C374,'Registre maintenance'!B:F,4,FALSE),"Non trouvé")</f>
        <v>Non trouvé</v>
      </c>
      <c r="J374" t="str">
        <f>IFERROR(VLOOKUP(C374,'Registre maintenance'!B:F,5,FALSE),"Non trouvé")</f>
        <v>Non trouvé</v>
      </c>
      <c r="K374" t="str">
        <f t="shared" si="52"/>
        <v>Mismatch</v>
      </c>
    </row>
    <row r="375" spans="1:11" x14ac:dyDescent="0.3">
      <c r="A375" t="s">
        <v>1059</v>
      </c>
      <c r="B375" s="1">
        <v>45230.776388888888</v>
      </c>
      <c r="C375" t="s">
        <v>1076</v>
      </c>
      <c r="D375">
        <v>55</v>
      </c>
      <c r="E375" t="s">
        <v>795</v>
      </c>
      <c r="F375" s="4" t="str">
        <f t="shared" si="59"/>
        <v>Nord-Ubangi</v>
      </c>
      <c r="G375" s="4" t="str">
        <f>IFERROR(VLOOKUP(C375,'Registre maintenance'!B:F,2,FALSE),"Non trouvé")</f>
        <v>Non trouvé</v>
      </c>
      <c r="H375" t="str">
        <f>IFERROR(VLOOKUP(C375,'Registre maintenance'!B:F,3,FALSE),"Non trouvé")</f>
        <v>Non trouvé</v>
      </c>
      <c r="I375" t="str">
        <f>IFERROR(VLOOKUP(C375,'Registre maintenance'!B:F,4,FALSE),"Non trouvé")</f>
        <v>Non trouvé</v>
      </c>
      <c r="J375" t="str">
        <f>IFERROR(VLOOKUP(C375,'Registre maintenance'!B:F,5,FALSE),"Non trouvé")</f>
        <v>Non trouvé</v>
      </c>
      <c r="K375" t="str">
        <f t="shared" si="52"/>
        <v>Mismatch</v>
      </c>
    </row>
    <row r="376" spans="1:11" x14ac:dyDescent="0.3">
      <c r="A376" t="s">
        <v>1059</v>
      </c>
      <c r="B376" s="1">
        <v>45202.04791666667</v>
      </c>
      <c r="C376" t="s">
        <v>1077</v>
      </c>
      <c r="D376">
        <v>115</v>
      </c>
      <c r="E376" t="s">
        <v>795</v>
      </c>
      <c r="F376" s="4" t="str">
        <f t="shared" si="59"/>
        <v>Nord-Ubangi</v>
      </c>
      <c r="G376" s="4" t="str">
        <f>IFERROR(VLOOKUP(C376,'Registre maintenance'!B:F,2,FALSE),"Non trouvé")</f>
        <v>Non trouvé</v>
      </c>
      <c r="H376" t="str">
        <f>IFERROR(VLOOKUP(C376,'Registre maintenance'!B:F,3,FALSE),"Non trouvé")</f>
        <v>Non trouvé</v>
      </c>
      <c r="I376" t="str">
        <f>IFERROR(VLOOKUP(C376,'Registre maintenance'!B:F,4,FALSE),"Non trouvé")</f>
        <v>Non trouvé</v>
      </c>
      <c r="J376" t="str">
        <f>IFERROR(VLOOKUP(C376,'Registre maintenance'!B:F,5,FALSE),"Non trouvé")</f>
        <v>Non trouvé</v>
      </c>
      <c r="K376" t="str">
        <f t="shared" si="52"/>
        <v>Mismatch</v>
      </c>
    </row>
    <row r="377" spans="1:11" x14ac:dyDescent="0.3">
      <c r="A377" t="s">
        <v>1059</v>
      </c>
      <c r="B377" s="1">
        <v>45205.793749999997</v>
      </c>
      <c r="C377" t="s">
        <v>1078</v>
      </c>
      <c r="D377">
        <v>99</v>
      </c>
      <c r="E377" t="s">
        <v>795</v>
      </c>
      <c r="F377" s="4" t="str">
        <f t="shared" si="59"/>
        <v>Nord-Ubangi</v>
      </c>
      <c r="G377" s="4" t="str">
        <f>IFERROR(VLOOKUP(C377,'Registre maintenance'!B:F,2,FALSE),"Non trouvé")</f>
        <v>Non trouvé</v>
      </c>
      <c r="H377" t="str">
        <f>IFERROR(VLOOKUP(C377,'Registre maintenance'!B:F,3,FALSE),"Non trouvé")</f>
        <v>Non trouvé</v>
      </c>
      <c r="I377" t="str">
        <f>IFERROR(VLOOKUP(C377,'Registre maintenance'!B:F,4,FALSE),"Non trouvé")</f>
        <v>Non trouvé</v>
      </c>
      <c r="J377" t="str">
        <f>IFERROR(VLOOKUP(C377,'Registre maintenance'!B:F,5,FALSE),"Non trouvé")</f>
        <v>Non trouvé</v>
      </c>
      <c r="K377" t="str">
        <f t="shared" si="52"/>
        <v>Mismatch</v>
      </c>
    </row>
    <row r="378" spans="1:11" x14ac:dyDescent="0.3">
      <c r="A378" t="s">
        <v>1084</v>
      </c>
      <c r="B378" s="1">
        <v>45230.633333333331</v>
      </c>
      <c r="C378" t="s">
        <v>1115</v>
      </c>
      <c r="D378">
        <v>34</v>
      </c>
      <c r="E378" t="s">
        <v>792</v>
      </c>
      <c r="F378" s="4" t="s">
        <v>56</v>
      </c>
      <c r="G378" s="4" t="str">
        <f>IFERROR(VLOOKUP(C378,'Registre maintenance'!B:F,2,FALSE),"Non trouvé")</f>
        <v>Kasai-Oriental</v>
      </c>
      <c r="H378">
        <f>IFERROR(VLOOKUP(C378,'Registre maintenance'!B:F,3,FALSE),"Non trouvé")</f>
        <v>2.486888</v>
      </c>
      <c r="I378">
        <f>IFERROR(VLOOKUP(C378,'Registre maintenance'!B:F,4,FALSE),"Non trouvé")</f>
        <v>23.798074</v>
      </c>
      <c r="J378" t="str">
        <f>IFERROR(VLOOKUP(C378,'Registre maintenance'!B:F,5,FALSE),"Non trouvé")</f>
        <v>5G</v>
      </c>
      <c r="K378" t="str">
        <f t="shared" si="52"/>
        <v>OK</v>
      </c>
    </row>
    <row r="379" spans="1:11" x14ac:dyDescent="0.3">
      <c r="A379" t="s">
        <v>1059</v>
      </c>
      <c r="B379" s="1">
        <v>45214.893750000003</v>
      </c>
      <c r="C379" t="s">
        <v>1079</v>
      </c>
      <c r="D379">
        <v>60</v>
      </c>
      <c r="E379" t="s">
        <v>795</v>
      </c>
      <c r="F379" s="4" t="str">
        <f t="shared" ref="F379:F395" si="60">F378</f>
        <v>Kasai-Oriental</v>
      </c>
      <c r="G379" s="4" t="str">
        <f>IFERROR(VLOOKUP(C379,'Registre maintenance'!B:F,2,FALSE),"Non trouvé")</f>
        <v>Non trouvé</v>
      </c>
      <c r="H379" t="str">
        <f>IFERROR(VLOOKUP(C379,'Registre maintenance'!B:F,3,FALSE),"Non trouvé")</f>
        <v>Non trouvé</v>
      </c>
      <c r="I379" t="str">
        <f>IFERROR(VLOOKUP(C379,'Registre maintenance'!B:F,4,FALSE),"Non trouvé")</f>
        <v>Non trouvé</v>
      </c>
      <c r="J379" t="str">
        <f>IFERROR(VLOOKUP(C379,'Registre maintenance'!B:F,5,FALSE),"Non trouvé")</f>
        <v>Non trouvé</v>
      </c>
      <c r="K379" t="str">
        <f t="shared" si="52"/>
        <v>Mismatch</v>
      </c>
    </row>
    <row r="380" spans="1:11" x14ac:dyDescent="0.3">
      <c r="A380" t="s">
        <v>1059</v>
      </c>
      <c r="B380" s="1">
        <v>45213.342361111107</v>
      </c>
      <c r="C380" t="s">
        <v>1080</v>
      </c>
      <c r="D380">
        <v>63</v>
      </c>
      <c r="E380" t="s">
        <v>795</v>
      </c>
      <c r="F380" s="4" t="str">
        <f t="shared" si="60"/>
        <v>Kasai-Oriental</v>
      </c>
      <c r="G380" s="4" t="str">
        <f>IFERROR(VLOOKUP(C380,'Registre maintenance'!B:F,2,FALSE),"Non trouvé")</f>
        <v>Non trouvé</v>
      </c>
      <c r="H380" t="str">
        <f>IFERROR(VLOOKUP(C380,'Registre maintenance'!B:F,3,FALSE),"Non trouvé")</f>
        <v>Non trouvé</v>
      </c>
      <c r="I380" t="str">
        <f>IFERROR(VLOOKUP(C380,'Registre maintenance'!B:F,4,FALSE),"Non trouvé")</f>
        <v>Non trouvé</v>
      </c>
      <c r="J380" t="str">
        <f>IFERROR(VLOOKUP(C380,'Registre maintenance'!B:F,5,FALSE),"Non trouvé")</f>
        <v>Non trouvé</v>
      </c>
      <c r="K380" t="str">
        <f t="shared" si="52"/>
        <v>Mismatch</v>
      </c>
    </row>
    <row r="381" spans="1:11" x14ac:dyDescent="0.3">
      <c r="A381" t="s">
        <v>1059</v>
      </c>
      <c r="B381" s="1">
        <v>45218.647916666669</v>
      </c>
      <c r="C381" t="s">
        <v>1081</v>
      </c>
      <c r="D381">
        <v>78</v>
      </c>
      <c r="E381" t="s">
        <v>792</v>
      </c>
      <c r="F381" s="4" t="str">
        <f t="shared" si="60"/>
        <v>Kasai-Oriental</v>
      </c>
      <c r="G381" s="4" t="str">
        <f>IFERROR(VLOOKUP(C381,'Registre maintenance'!B:F,2,FALSE),"Non trouvé")</f>
        <v>Non trouvé</v>
      </c>
      <c r="H381" t="str">
        <f>IFERROR(VLOOKUP(C381,'Registre maintenance'!B:F,3,FALSE),"Non trouvé")</f>
        <v>Non trouvé</v>
      </c>
      <c r="I381" t="str">
        <f>IFERROR(VLOOKUP(C381,'Registre maintenance'!B:F,4,FALSE),"Non trouvé")</f>
        <v>Non trouvé</v>
      </c>
      <c r="J381" t="str">
        <f>IFERROR(VLOOKUP(C381,'Registre maintenance'!B:F,5,FALSE),"Non trouvé")</f>
        <v>Non trouvé</v>
      </c>
      <c r="K381" t="str">
        <f t="shared" si="52"/>
        <v>Mismatch</v>
      </c>
    </row>
    <row r="382" spans="1:11" x14ac:dyDescent="0.3">
      <c r="A382" t="s">
        <v>1084</v>
      </c>
      <c r="B382" s="1">
        <v>45220.11041666667</v>
      </c>
      <c r="C382" t="s">
        <v>1087</v>
      </c>
      <c r="D382">
        <v>111</v>
      </c>
      <c r="E382" t="s">
        <v>797</v>
      </c>
      <c r="F382" s="4" t="str">
        <f t="shared" si="60"/>
        <v>Kasai-Oriental</v>
      </c>
      <c r="G382" s="4" t="str">
        <f>IFERROR(VLOOKUP(C382,'Registre maintenance'!B:F,2,FALSE),"Non trouvé")</f>
        <v>Non trouvé</v>
      </c>
      <c r="H382" t="str">
        <f>IFERROR(VLOOKUP(C382,'Registre maintenance'!B:F,3,FALSE),"Non trouvé")</f>
        <v>Non trouvé</v>
      </c>
      <c r="I382" t="str">
        <f>IFERROR(VLOOKUP(C382,'Registre maintenance'!B:F,4,FALSE),"Non trouvé")</f>
        <v>Non trouvé</v>
      </c>
      <c r="J382" t="str">
        <f>IFERROR(VLOOKUP(C382,'Registre maintenance'!B:F,5,FALSE),"Non trouvé")</f>
        <v>Non trouvé</v>
      </c>
      <c r="K382" t="str">
        <f t="shared" si="52"/>
        <v>Mismatch</v>
      </c>
    </row>
    <row r="383" spans="1:11" x14ac:dyDescent="0.3">
      <c r="A383" t="s">
        <v>1084</v>
      </c>
      <c r="B383" s="1">
        <v>45201.623611111107</v>
      </c>
      <c r="C383" t="s">
        <v>1090</v>
      </c>
      <c r="D383">
        <v>9</v>
      </c>
      <c r="E383" t="s">
        <v>792</v>
      </c>
      <c r="F383" s="4" t="str">
        <f t="shared" si="60"/>
        <v>Kasai-Oriental</v>
      </c>
      <c r="G383" s="4" t="str">
        <f>IFERROR(VLOOKUP(C383,'Registre maintenance'!B:F,2,FALSE),"Non trouvé")</f>
        <v>Non trouvé</v>
      </c>
      <c r="H383" t="str">
        <f>IFERROR(VLOOKUP(C383,'Registre maintenance'!B:F,3,FALSE),"Non trouvé")</f>
        <v>Non trouvé</v>
      </c>
      <c r="I383" t="str">
        <f>IFERROR(VLOOKUP(C383,'Registre maintenance'!B:F,4,FALSE),"Non trouvé")</f>
        <v>Non trouvé</v>
      </c>
      <c r="J383" t="str">
        <f>IFERROR(VLOOKUP(C383,'Registre maintenance'!B:F,5,FALSE),"Non trouvé")</f>
        <v>Non trouvé</v>
      </c>
      <c r="K383" t="str">
        <f t="shared" si="52"/>
        <v>Mismatch</v>
      </c>
    </row>
    <row r="384" spans="1:11" x14ac:dyDescent="0.3">
      <c r="A384" t="s">
        <v>1084</v>
      </c>
      <c r="B384" s="1">
        <v>45225.77847222222</v>
      </c>
      <c r="C384" t="s">
        <v>1091</v>
      </c>
      <c r="D384">
        <v>89</v>
      </c>
      <c r="E384" t="s">
        <v>792</v>
      </c>
      <c r="F384" s="4" t="str">
        <f t="shared" si="60"/>
        <v>Kasai-Oriental</v>
      </c>
      <c r="G384" s="4" t="str">
        <f>IFERROR(VLOOKUP(C384,'Registre maintenance'!B:F,2,FALSE),"Non trouvé")</f>
        <v>Non trouvé</v>
      </c>
      <c r="H384" t="str">
        <f>IFERROR(VLOOKUP(C384,'Registre maintenance'!B:F,3,FALSE),"Non trouvé")</f>
        <v>Non trouvé</v>
      </c>
      <c r="I384" t="str">
        <f>IFERROR(VLOOKUP(C384,'Registre maintenance'!B:F,4,FALSE),"Non trouvé")</f>
        <v>Non trouvé</v>
      </c>
      <c r="J384" t="str">
        <f>IFERROR(VLOOKUP(C384,'Registre maintenance'!B:F,5,FALSE),"Non trouvé")</f>
        <v>Non trouvé</v>
      </c>
      <c r="K384" t="str">
        <f t="shared" si="52"/>
        <v>Mismatch</v>
      </c>
    </row>
    <row r="385" spans="1:11" x14ac:dyDescent="0.3">
      <c r="A385" t="s">
        <v>1084</v>
      </c>
      <c r="B385" s="1">
        <v>45230.061111111107</v>
      </c>
      <c r="C385" t="s">
        <v>1093</v>
      </c>
      <c r="D385">
        <v>103</v>
      </c>
      <c r="E385" t="s">
        <v>792</v>
      </c>
      <c r="F385" s="4" t="str">
        <f t="shared" si="60"/>
        <v>Kasai-Oriental</v>
      </c>
      <c r="G385" s="4" t="str">
        <f>IFERROR(VLOOKUP(C385,'Registre maintenance'!B:F,2,FALSE),"Non trouvé")</f>
        <v>Non trouvé</v>
      </c>
      <c r="H385" t="str">
        <f>IFERROR(VLOOKUP(C385,'Registre maintenance'!B:F,3,FALSE),"Non trouvé")</f>
        <v>Non trouvé</v>
      </c>
      <c r="I385" t="str">
        <f>IFERROR(VLOOKUP(C385,'Registre maintenance'!B:F,4,FALSE),"Non trouvé")</f>
        <v>Non trouvé</v>
      </c>
      <c r="J385" t="str">
        <f>IFERROR(VLOOKUP(C385,'Registre maintenance'!B:F,5,FALSE),"Non trouvé")</f>
        <v>Non trouvé</v>
      </c>
      <c r="K385" t="str">
        <f t="shared" si="52"/>
        <v>Mismatch</v>
      </c>
    </row>
    <row r="386" spans="1:11" x14ac:dyDescent="0.3">
      <c r="A386" t="s">
        <v>1084</v>
      </c>
      <c r="B386" s="1">
        <v>45202.695138888892</v>
      </c>
      <c r="C386" t="s">
        <v>1094</v>
      </c>
      <c r="D386">
        <v>21</v>
      </c>
      <c r="E386" t="s">
        <v>792</v>
      </c>
      <c r="F386" s="4" t="str">
        <f t="shared" si="60"/>
        <v>Kasai-Oriental</v>
      </c>
      <c r="G386" s="4" t="str">
        <f>IFERROR(VLOOKUP(C386,'Registre maintenance'!B:F,2,FALSE),"Non trouvé")</f>
        <v>Non trouvé</v>
      </c>
      <c r="H386" t="str">
        <f>IFERROR(VLOOKUP(C386,'Registre maintenance'!B:F,3,FALSE),"Non trouvé")</f>
        <v>Non trouvé</v>
      </c>
      <c r="I386" t="str">
        <f>IFERROR(VLOOKUP(C386,'Registre maintenance'!B:F,4,FALSE),"Non trouvé")</f>
        <v>Non trouvé</v>
      </c>
      <c r="J386" t="str">
        <f>IFERROR(VLOOKUP(C386,'Registre maintenance'!B:F,5,FALSE),"Non trouvé")</f>
        <v>Non trouvé</v>
      </c>
      <c r="K386" t="str">
        <f t="shared" ref="K386:K449" si="61">IF(F386=G386,"OK","Mismatch")</f>
        <v>Mismatch</v>
      </c>
    </row>
    <row r="387" spans="1:11" x14ac:dyDescent="0.3">
      <c r="A387" t="s">
        <v>1084</v>
      </c>
      <c r="B387" s="1">
        <v>45222.602777777778</v>
      </c>
      <c r="C387" t="s">
        <v>1096</v>
      </c>
      <c r="D387">
        <v>53</v>
      </c>
      <c r="E387" t="s">
        <v>795</v>
      </c>
      <c r="F387" s="4" t="str">
        <f t="shared" si="60"/>
        <v>Kasai-Oriental</v>
      </c>
      <c r="G387" s="4" t="str">
        <f>IFERROR(VLOOKUP(C387,'Registre maintenance'!B:F,2,FALSE),"Non trouvé")</f>
        <v>Non trouvé</v>
      </c>
      <c r="H387" t="str">
        <f>IFERROR(VLOOKUP(C387,'Registre maintenance'!B:F,3,FALSE),"Non trouvé")</f>
        <v>Non trouvé</v>
      </c>
      <c r="I387" t="str">
        <f>IFERROR(VLOOKUP(C387,'Registre maintenance'!B:F,4,FALSE),"Non trouvé")</f>
        <v>Non trouvé</v>
      </c>
      <c r="J387" t="str">
        <f>IFERROR(VLOOKUP(C387,'Registre maintenance'!B:F,5,FALSE),"Non trouvé")</f>
        <v>Non trouvé</v>
      </c>
      <c r="K387" t="str">
        <f t="shared" si="61"/>
        <v>Mismatch</v>
      </c>
    </row>
    <row r="388" spans="1:11" x14ac:dyDescent="0.3">
      <c r="A388" t="s">
        <v>1084</v>
      </c>
      <c r="B388" s="1">
        <v>45205.474305555559</v>
      </c>
      <c r="C388" t="s">
        <v>1097</v>
      </c>
      <c r="D388">
        <v>25</v>
      </c>
      <c r="E388" t="s">
        <v>792</v>
      </c>
      <c r="F388" s="4" t="str">
        <f t="shared" si="60"/>
        <v>Kasai-Oriental</v>
      </c>
      <c r="G388" s="4" t="str">
        <f>IFERROR(VLOOKUP(C388,'Registre maintenance'!B:F,2,FALSE),"Non trouvé")</f>
        <v>Non trouvé</v>
      </c>
      <c r="H388" t="str">
        <f>IFERROR(VLOOKUP(C388,'Registre maintenance'!B:F,3,FALSE),"Non trouvé")</f>
        <v>Non trouvé</v>
      </c>
      <c r="I388" t="str">
        <f>IFERROR(VLOOKUP(C388,'Registre maintenance'!B:F,4,FALSE),"Non trouvé")</f>
        <v>Non trouvé</v>
      </c>
      <c r="J388" t="str">
        <f>IFERROR(VLOOKUP(C388,'Registre maintenance'!B:F,5,FALSE),"Non trouvé")</f>
        <v>Non trouvé</v>
      </c>
      <c r="K388" t="str">
        <f t="shared" si="61"/>
        <v>Mismatch</v>
      </c>
    </row>
    <row r="389" spans="1:11" x14ac:dyDescent="0.3">
      <c r="A389" t="s">
        <v>1084</v>
      </c>
      <c r="B389" s="1">
        <v>45213.446527777778</v>
      </c>
      <c r="C389" t="s">
        <v>1099</v>
      </c>
      <c r="D389">
        <v>111</v>
      </c>
      <c r="E389" t="s">
        <v>792</v>
      </c>
      <c r="F389" s="4" t="str">
        <f t="shared" si="60"/>
        <v>Kasai-Oriental</v>
      </c>
      <c r="G389" s="4" t="str">
        <f>IFERROR(VLOOKUP(C389,'Registre maintenance'!B:F,2,FALSE),"Non trouvé")</f>
        <v>Non trouvé</v>
      </c>
      <c r="H389" t="str">
        <f>IFERROR(VLOOKUP(C389,'Registre maintenance'!B:F,3,FALSE),"Non trouvé")</f>
        <v>Non trouvé</v>
      </c>
      <c r="I389" t="str">
        <f>IFERROR(VLOOKUP(C389,'Registre maintenance'!B:F,4,FALSE),"Non trouvé")</f>
        <v>Non trouvé</v>
      </c>
      <c r="J389" t="str">
        <f>IFERROR(VLOOKUP(C389,'Registre maintenance'!B:F,5,FALSE),"Non trouvé")</f>
        <v>Non trouvé</v>
      </c>
      <c r="K389" t="str">
        <f t="shared" si="61"/>
        <v>Mismatch</v>
      </c>
    </row>
    <row r="390" spans="1:11" x14ac:dyDescent="0.3">
      <c r="A390" t="s">
        <v>1084</v>
      </c>
      <c r="B390" s="1">
        <v>45219.076388888891</v>
      </c>
      <c r="C390" t="s">
        <v>1100</v>
      </c>
      <c r="D390">
        <v>93</v>
      </c>
      <c r="E390" t="s">
        <v>797</v>
      </c>
      <c r="F390" s="4" t="str">
        <f t="shared" si="60"/>
        <v>Kasai-Oriental</v>
      </c>
      <c r="G390" s="4" t="str">
        <f>IFERROR(VLOOKUP(C390,'Registre maintenance'!B:F,2,FALSE),"Non trouvé")</f>
        <v>Non trouvé</v>
      </c>
      <c r="H390" t="str">
        <f>IFERROR(VLOOKUP(C390,'Registre maintenance'!B:F,3,FALSE),"Non trouvé")</f>
        <v>Non trouvé</v>
      </c>
      <c r="I390" t="str">
        <f>IFERROR(VLOOKUP(C390,'Registre maintenance'!B:F,4,FALSE),"Non trouvé")</f>
        <v>Non trouvé</v>
      </c>
      <c r="J390" t="str">
        <f>IFERROR(VLOOKUP(C390,'Registre maintenance'!B:F,5,FALSE),"Non trouvé")</f>
        <v>Non trouvé</v>
      </c>
      <c r="K390" t="str">
        <f t="shared" si="61"/>
        <v>Mismatch</v>
      </c>
    </row>
    <row r="391" spans="1:11" x14ac:dyDescent="0.3">
      <c r="A391" t="s">
        <v>1084</v>
      </c>
      <c r="B391" s="1">
        <v>45209.365277777782</v>
      </c>
      <c r="C391" t="s">
        <v>1102</v>
      </c>
      <c r="D391">
        <v>120</v>
      </c>
      <c r="E391" t="s">
        <v>792</v>
      </c>
      <c r="F391" s="4" t="str">
        <f t="shared" si="60"/>
        <v>Kasai-Oriental</v>
      </c>
      <c r="G391" s="4" t="str">
        <f>IFERROR(VLOOKUP(C391,'Registre maintenance'!B:F,2,FALSE),"Non trouvé")</f>
        <v>Non trouvé</v>
      </c>
      <c r="H391" t="str">
        <f>IFERROR(VLOOKUP(C391,'Registre maintenance'!B:F,3,FALSE),"Non trouvé")</f>
        <v>Non trouvé</v>
      </c>
      <c r="I391" t="str">
        <f>IFERROR(VLOOKUP(C391,'Registre maintenance'!B:F,4,FALSE),"Non trouvé")</f>
        <v>Non trouvé</v>
      </c>
      <c r="J391" t="str">
        <f>IFERROR(VLOOKUP(C391,'Registre maintenance'!B:F,5,FALSE),"Non trouvé")</f>
        <v>Non trouvé</v>
      </c>
      <c r="K391" t="str">
        <f t="shared" si="61"/>
        <v>Mismatch</v>
      </c>
    </row>
    <row r="392" spans="1:11" x14ac:dyDescent="0.3">
      <c r="A392" t="s">
        <v>1084</v>
      </c>
      <c r="B392" s="1">
        <v>45230.863888888889</v>
      </c>
      <c r="C392" t="s">
        <v>1105</v>
      </c>
      <c r="D392">
        <v>57</v>
      </c>
      <c r="E392" t="s">
        <v>792</v>
      </c>
      <c r="F392" s="4" t="str">
        <f t="shared" si="60"/>
        <v>Kasai-Oriental</v>
      </c>
      <c r="G392" s="4" t="str">
        <f>IFERROR(VLOOKUP(C392,'Registre maintenance'!B:F,2,FALSE),"Non trouvé")</f>
        <v>Non trouvé</v>
      </c>
      <c r="H392" t="str">
        <f>IFERROR(VLOOKUP(C392,'Registre maintenance'!B:F,3,FALSE),"Non trouvé")</f>
        <v>Non trouvé</v>
      </c>
      <c r="I392" t="str">
        <f>IFERROR(VLOOKUP(C392,'Registre maintenance'!B:F,4,FALSE),"Non trouvé")</f>
        <v>Non trouvé</v>
      </c>
      <c r="J392" t="str">
        <f>IFERROR(VLOOKUP(C392,'Registre maintenance'!B:F,5,FALSE),"Non trouvé")</f>
        <v>Non trouvé</v>
      </c>
      <c r="K392" t="str">
        <f t="shared" si="61"/>
        <v>Mismatch</v>
      </c>
    </row>
    <row r="393" spans="1:11" x14ac:dyDescent="0.3">
      <c r="A393" t="s">
        <v>1084</v>
      </c>
      <c r="B393" s="1">
        <v>45219.920138888891</v>
      </c>
      <c r="C393" t="s">
        <v>1107</v>
      </c>
      <c r="D393">
        <v>91</v>
      </c>
      <c r="E393" t="s">
        <v>797</v>
      </c>
      <c r="F393" s="4" t="str">
        <f t="shared" si="60"/>
        <v>Kasai-Oriental</v>
      </c>
      <c r="G393" s="4" t="str">
        <f>IFERROR(VLOOKUP(C393,'Registre maintenance'!B:F,2,FALSE),"Non trouvé")</f>
        <v>Non trouvé</v>
      </c>
      <c r="H393" t="str">
        <f>IFERROR(VLOOKUP(C393,'Registre maintenance'!B:F,3,FALSE),"Non trouvé")</f>
        <v>Non trouvé</v>
      </c>
      <c r="I393" t="str">
        <f>IFERROR(VLOOKUP(C393,'Registre maintenance'!B:F,4,FALSE),"Non trouvé")</f>
        <v>Non trouvé</v>
      </c>
      <c r="J393" t="str">
        <f>IFERROR(VLOOKUP(C393,'Registre maintenance'!B:F,5,FALSE),"Non trouvé")</f>
        <v>Non trouvé</v>
      </c>
      <c r="K393" t="str">
        <f t="shared" si="61"/>
        <v>Mismatch</v>
      </c>
    </row>
    <row r="394" spans="1:11" x14ac:dyDescent="0.3">
      <c r="A394" t="s">
        <v>1084</v>
      </c>
      <c r="B394" s="1">
        <v>45209.724999999999</v>
      </c>
      <c r="C394" t="s">
        <v>1108</v>
      </c>
      <c r="D394">
        <v>97</v>
      </c>
      <c r="E394" t="s">
        <v>797</v>
      </c>
      <c r="F394" s="4" t="str">
        <f t="shared" si="60"/>
        <v>Kasai-Oriental</v>
      </c>
      <c r="G394" s="4" t="str">
        <f>IFERROR(VLOOKUP(C394,'Registre maintenance'!B:F,2,FALSE),"Non trouvé")</f>
        <v>Non trouvé</v>
      </c>
      <c r="H394" t="str">
        <f>IFERROR(VLOOKUP(C394,'Registre maintenance'!B:F,3,FALSE),"Non trouvé")</f>
        <v>Non trouvé</v>
      </c>
      <c r="I394" t="str">
        <f>IFERROR(VLOOKUP(C394,'Registre maintenance'!B:F,4,FALSE),"Non trouvé")</f>
        <v>Non trouvé</v>
      </c>
      <c r="J394" t="str">
        <f>IFERROR(VLOOKUP(C394,'Registre maintenance'!B:F,5,FALSE),"Non trouvé")</f>
        <v>Non trouvé</v>
      </c>
      <c r="K394" t="str">
        <f t="shared" si="61"/>
        <v>Mismatch</v>
      </c>
    </row>
    <row r="395" spans="1:11" x14ac:dyDescent="0.3">
      <c r="A395" t="s">
        <v>1084</v>
      </c>
      <c r="B395" s="1">
        <v>45220.452777777777</v>
      </c>
      <c r="C395" t="s">
        <v>1109</v>
      </c>
      <c r="D395">
        <v>35</v>
      </c>
      <c r="E395" t="s">
        <v>795</v>
      </c>
      <c r="F395" s="4" t="str">
        <f t="shared" si="60"/>
        <v>Kasai-Oriental</v>
      </c>
      <c r="G395" s="4" t="str">
        <f>IFERROR(VLOOKUP(C395,'Registre maintenance'!B:F,2,FALSE),"Non trouvé")</f>
        <v>Non trouvé</v>
      </c>
      <c r="H395" t="str">
        <f>IFERROR(VLOOKUP(C395,'Registre maintenance'!B:F,3,FALSE),"Non trouvé")</f>
        <v>Non trouvé</v>
      </c>
      <c r="I395" t="str">
        <f>IFERROR(VLOOKUP(C395,'Registre maintenance'!B:F,4,FALSE),"Non trouvé")</f>
        <v>Non trouvé</v>
      </c>
      <c r="J395" t="str">
        <f>IFERROR(VLOOKUP(C395,'Registre maintenance'!B:F,5,FALSE),"Non trouvé")</f>
        <v>Non trouvé</v>
      </c>
      <c r="K395" t="str">
        <f t="shared" si="61"/>
        <v>Mismatch</v>
      </c>
    </row>
    <row r="396" spans="1:11" x14ac:dyDescent="0.3">
      <c r="A396" t="s">
        <v>1119</v>
      </c>
      <c r="B396" s="1">
        <v>45216.760416666657</v>
      </c>
      <c r="C396" t="s">
        <v>1124</v>
      </c>
      <c r="D396">
        <v>48</v>
      </c>
      <c r="E396" t="s">
        <v>792</v>
      </c>
      <c r="F396" s="4" t="s">
        <v>9</v>
      </c>
      <c r="G396" s="4" t="str">
        <f>IFERROR(VLOOKUP(C396,'Registre maintenance'!B:F,2,FALSE),"Non trouvé")</f>
        <v>Ituri</v>
      </c>
      <c r="H396">
        <f>IFERROR(VLOOKUP(C396,'Registre maintenance'!B:F,3,FALSE),"Non trouvé")</f>
        <v>-11.002602</v>
      </c>
      <c r="I396">
        <f>IFERROR(VLOOKUP(C396,'Registre maintenance'!B:F,4,FALSE),"Non trouvé")</f>
        <v>23.918247999999998</v>
      </c>
      <c r="J396" t="str">
        <f>IFERROR(VLOOKUP(C396,'Registre maintenance'!B:F,5,FALSE),"Non trouvé")</f>
        <v>5G</v>
      </c>
      <c r="K396" t="str">
        <f t="shared" si="61"/>
        <v>OK</v>
      </c>
    </row>
    <row r="397" spans="1:11" x14ac:dyDescent="0.3">
      <c r="A397" t="s">
        <v>1084</v>
      </c>
      <c r="B397" s="1">
        <v>45204.905555555553</v>
      </c>
      <c r="C397" t="s">
        <v>1110</v>
      </c>
      <c r="D397">
        <v>61</v>
      </c>
      <c r="E397" t="s">
        <v>792</v>
      </c>
      <c r="F397" s="4" t="str">
        <f t="shared" ref="F397:F398" si="62">F396</f>
        <v>Ituri</v>
      </c>
      <c r="G397" s="4" t="str">
        <f>IFERROR(VLOOKUP(C397,'Registre maintenance'!B:F,2,FALSE),"Non trouvé")</f>
        <v>Non trouvé</v>
      </c>
      <c r="H397" t="str">
        <f>IFERROR(VLOOKUP(C397,'Registre maintenance'!B:F,3,FALSE),"Non trouvé")</f>
        <v>Non trouvé</v>
      </c>
      <c r="I397" t="str">
        <f>IFERROR(VLOOKUP(C397,'Registre maintenance'!B:F,4,FALSE),"Non trouvé")</f>
        <v>Non trouvé</v>
      </c>
      <c r="J397" t="str">
        <f>IFERROR(VLOOKUP(C397,'Registre maintenance'!B:F,5,FALSE),"Non trouvé")</f>
        <v>Non trouvé</v>
      </c>
      <c r="K397" t="str">
        <f t="shared" si="61"/>
        <v>Mismatch</v>
      </c>
    </row>
    <row r="398" spans="1:11" x14ac:dyDescent="0.3">
      <c r="A398" t="s">
        <v>1084</v>
      </c>
      <c r="B398" s="1">
        <v>45226.988194444442</v>
      </c>
      <c r="C398" t="s">
        <v>1111</v>
      </c>
      <c r="D398">
        <v>83</v>
      </c>
      <c r="E398" t="s">
        <v>795</v>
      </c>
      <c r="F398" s="4" t="str">
        <f t="shared" si="62"/>
        <v>Ituri</v>
      </c>
      <c r="G398" s="4" t="str">
        <f>IFERROR(VLOOKUP(C398,'Registre maintenance'!B:F,2,FALSE),"Non trouvé")</f>
        <v>Non trouvé</v>
      </c>
      <c r="H398" t="str">
        <f>IFERROR(VLOOKUP(C398,'Registre maintenance'!B:F,3,FALSE),"Non trouvé")</f>
        <v>Non trouvé</v>
      </c>
      <c r="I398" t="str">
        <f>IFERROR(VLOOKUP(C398,'Registre maintenance'!B:F,4,FALSE),"Non trouvé")</f>
        <v>Non trouvé</v>
      </c>
      <c r="J398" t="str">
        <f>IFERROR(VLOOKUP(C398,'Registre maintenance'!B:F,5,FALSE),"Non trouvé")</f>
        <v>Non trouvé</v>
      </c>
      <c r="K398" t="str">
        <f t="shared" si="61"/>
        <v>Mismatch</v>
      </c>
    </row>
    <row r="399" spans="1:11" x14ac:dyDescent="0.3">
      <c r="A399" t="s">
        <v>1084</v>
      </c>
      <c r="B399" s="1">
        <v>45202.412499999999</v>
      </c>
      <c r="C399" t="s">
        <v>1117</v>
      </c>
      <c r="D399">
        <v>35</v>
      </c>
      <c r="E399" t="s">
        <v>792</v>
      </c>
      <c r="F399" s="4" t="s">
        <v>25</v>
      </c>
      <c r="G399" s="4" t="str">
        <f>IFERROR(VLOOKUP(C399,'Registre maintenance'!B:F,2,FALSE),"Non trouvé")</f>
        <v>Bas-Uele</v>
      </c>
      <c r="H399">
        <f>IFERROR(VLOOKUP(C399,'Registre maintenance'!B:F,3,FALSE),"Non trouvé")</f>
        <v>-6.4197189999999997</v>
      </c>
      <c r="I399">
        <f>IFERROR(VLOOKUP(C399,'Registre maintenance'!B:F,4,FALSE),"Non trouvé")</f>
        <v>22.287264</v>
      </c>
      <c r="J399" t="str">
        <f>IFERROR(VLOOKUP(C399,'Registre maintenance'!B:F,5,FALSE),"Non trouvé")</f>
        <v>3G</v>
      </c>
      <c r="K399" t="str">
        <f t="shared" si="61"/>
        <v>OK</v>
      </c>
    </row>
    <row r="400" spans="1:11" x14ac:dyDescent="0.3">
      <c r="A400" t="s">
        <v>1084</v>
      </c>
      <c r="B400" s="1">
        <v>45207.17291666667</v>
      </c>
      <c r="C400" t="s">
        <v>1116</v>
      </c>
      <c r="D400">
        <v>73</v>
      </c>
      <c r="E400" t="s">
        <v>797</v>
      </c>
      <c r="F400" s="4" t="str">
        <f t="shared" ref="F400:F402" si="63">F399</f>
        <v>Bas-Uele</v>
      </c>
      <c r="G400" s="4" t="str">
        <f>IFERROR(VLOOKUP(C400,'Registre maintenance'!B:F,2,FALSE),"Non trouvé")</f>
        <v>Non trouvé</v>
      </c>
      <c r="H400" t="str">
        <f>IFERROR(VLOOKUP(C400,'Registre maintenance'!B:F,3,FALSE),"Non trouvé")</f>
        <v>Non trouvé</v>
      </c>
      <c r="I400" t="str">
        <f>IFERROR(VLOOKUP(C400,'Registre maintenance'!B:F,4,FALSE),"Non trouvé")</f>
        <v>Non trouvé</v>
      </c>
      <c r="J400" t="str">
        <f>IFERROR(VLOOKUP(C400,'Registre maintenance'!B:F,5,FALSE),"Non trouvé")</f>
        <v>Non trouvé</v>
      </c>
      <c r="K400" t="str">
        <f t="shared" si="61"/>
        <v>Mismatch</v>
      </c>
    </row>
    <row r="401" spans="1:11" x14ac:dyDescent="0.3">
      <c r="A401" t="s">
        <v>1119</v>
      </c>
      <c r="B401" s="1">
        <v>45201.30972222222</v>
      </c>
      <c r="C401" t="s">
        <v>1120</v>
      </c>
      <c r="D401">
        <v>56</v>
      </c>
      <c r="E401" t="s">
        <v>797</v>
      </c>
      <c r="F401" s="4" t="str">
        <f t="shared" si="63"/>
        <v>Bas-Uele</v>
      </c>
      <c r="G401" s="4" t="str">
        <f>IFERROR(VLOOKUP(C401,'Registre maintenance'!B:F,2,FALSE),"Non trouvé")</f>
        <v>Non trouvé</v>
      </c>
      <c r="H401" t="str">
        <f>IFERROR(VLOOKUP(C401,'Registre maintenance'!B:F,3,FALSE),"Non trouvé")</f>
        <v>Non trouvé</v>
      </c>
      <c r="I401" t="str">
        <f>IFERROR(VLOOKUP(C401,'Registre maintenance'!B:F,4,FALSE),"Non trouvé")</f>
        <v>Non trouvé</v>
      </c>
      <c r="J401" t="str">
        <f>IFERROR(VLOOKUP(C401,'Registre maintenance'!B:F,5,FALSE),"Non trouvé")</f>
        <v>Non trouvé</v>
      </c>
      <c r="K401" t="str">
        <f t="shared" si="61"/>
        <v>Mismatch</v>
      </c>
    </row>
    <row r="402" spans="1:11" x14ac:dyDescent="0.3">
      <c r="A402" t="s">
        <v>1119</v>
      </c>
      <c r="B402" s="1">
        <v>45228.651388888888</v>
      </c>
      <c r="C402" t="s">
        <v>1123</v>
      </c>
      <c r="D402">
        <v>119</v>
      </c>
      <c r="E402" t="s">
        <v>792</v>
      </c>
      <c r="F402" s="4" t="str">
        <f t="shared" si="63"/>
        <v>Bas-Uele</v>
      </c>
      <c r="G402" s="4" t="str">
        <f>IFERROR(VLOOKUP(C402,'Registre maintenance'!B:F,2,FALSE),"Non trouvé")</f>
        <v>Sud-Kivu</v>
      </c>
      <c r="H402">
        <f>IFERROR(VLOOKUP(C402,'Registre maintenance'!B:F,3,FALSE),"Non trouvé")</f>
        <v>2.453036</v>
      </c>
      <c r="I402">
        <f>IFERROR(VLOOKUP(C402,'Registre maintenance'!B:F,4,FALSE),"Non trouvé")</f>
        <v>20.555484</v>
      </c>
      <c r="J402" t="str">
        <f>IFERROR(VLOOKUP(C402,'Registre maintenance'!B:F,5,FALSE),"Non trouvé")</f>
        <v>5G</v>
      </c>
      <c r="K402" t="str">
        <f t="shared" si="61"/>
        <v>Mismatch</v>
      </c>
    </row>
    <row r="403" spans="1:11" x14ac:dyDescent="0.3">
      <c r="A403" t="s">
        <v>1119</v>
      </c>
      <c r="B403" s="1">
        <v>45213.027083333327</v>
      </c>
      <c r="C403" t="s">
        <v>1126</v>
      </c>
      <c r="D403">
        <v>68</v>
      </c>
      <c r="E403" t="s">
        <v>797</v>
      </c>
      <c r="F403" s="4" t="s">
        <v>39</v>
      </c>
      <c r="G403" s="4" t="str">
        <f>IFERROR(VLOOKUP(C403,'Registre maintenance'!B:F,2,FALSE),"Non trouvé")</f>
        <v>Kwango</v>
      </c>
      <c r="H403">
        <f>IFERROR(VLOOKUP(C403,'Registre maintenance'!B:F,3,FALSE),"Non trouvé")</f>
        <v>-8.1210620000000002</v>
      </c>
      <c r="I403">
        <f>IFERROR(VLOOKUP(C403,'Registre maintenance'!B:F,4,FALSE),"Non trouvé")</f>
        <v>21.094390000000001</v>
      </c>
      <c r="J403" t="str">
        <f>IFERROR(VLOOKUP(C403,'Registre maintenance'!B:F,5,FALSE),"Non trouvé")</f>
        <v>5G</v>
      </c>
      <c r="K403" t="str">
        <f t="shared" si="61"/>
        <v>OK</v>
      </c>
    </row>
    <row r="404" spans="1:11" x14ac:dyDescent="0.3">
      <c r="A404" t="s">
        <v>1119</v>
      </c>
      <c r="B404" s="1">
        <v>45211.316666666673</v>
      </c>
      <c r="C404" t="s">
        <v>1127</v>
      </c>
      <c r="D404">
        <v>93</v>
      </c>
      <c r="E404" t="s">
        <v>797</v>
      </c>
      <c r="F404" s="4" t="s">
        <v>135</v>
      </c>
      <c r="G404" s="4" t="str">
        <f>IFERROR(VLOOKUP(C404,'Registre maintenance'!B:F,2,FALSE),"Non trouvé")</f>
        <v>Lualaba</v>
      </c>
      <c r="H404">
        <f>IFERROR(VLOOKUP(C404,'Registre maintenance'!B:F,3,FALSE),"Non trouvé")</f>
        <v>1.286548</v>
      </c>
      <c r="I404">
        <f>IFERROR(VLOOKUP(C404,'Registre maintenance'!B:F,4,FALSE),"Non trouvé")</f>
        <v>29.823702999999998</v>
      </c>
      <c r="J404" t="str">
        <f>IFERROR(VLOOKUP(C404,'Registre maintenance'!B:F,5,FALSE),"Non trouvé")</f>
        <v>4G</v>
      </c>
      <c r="K404" t="str">
        <f t="shared" si="61"/>
        <v>OK</v>
      </c>
    </row>
    <row r="405" spans="1:11" x14ac:dyDescent="0.3">
      <c r="A405" t="s">
        <v>1119</v>
      </c>
      <c r="B405" s="1">
        <v>45213.237500000003</v>
      </c>
      <c r="C405" t="s">
        <v>916</v>
      </c>
      <c r="D405">
        <v>68</v>
      </c>
      <c r="E405" t="s">
        <v>797</v>
      </c>
      <c r="F405" s="4" t="str">
        <f t="shared" ref="F405:F406" si="64">F404</f>
        <v>Lualaba</v>
      </c>
      <c r="G405" s="4" t="str">
        <f>IFERROR(VLOOKUP(C405,'Registre maintenance'!B:F,2,FALSE),"Non trouvé")</f>
        <v>Non trouvé</v>
      </c>
      <c r="H405" t="str">
        <f>IFERROR(VLOOKUP(C405,'Registre maintenance'!B:F,3,FALSE),"Non trouvé")</f>
        <v>Non trouvé</v>
      </c>
      <c r="I405" t="str">
        <f>IFERROR(VLOOKUP(C405,'Registre maintenance'!B:F,4,FALSE),"Non trouvé")</f>
        <v>Non trouvé</v>
      </c>
      <c r="J405" t="str">
        <f>IFERROR(VLOOKUP(C405,'Registre maintenance'!B:F,5,FALSE),"Non trouvé")</f>
        <v>Non trouvé</v>
      </c>
      <c r="K405" t="str">
        <f t="shared" si="61"/>
        <v>Mismatch</v>
      </c>
    </row>
    <row r="406" spans="1:11" x14ac:dyDescent="0.3">
      <c r="A406" t="s">
        <v>1119</v>
      </c>
      <c r="B406" s="1">
        <v>45221.106249999997</v>
      </c>
      <c r="C406" t="s">
        <v>812</v>
      </c>
      <c r="D406">
        <v>52</v>
      </c>
      <c r="E406" t="s">
        <v>797</v>
      </c>
      <c r="F406" s="4" t="str">
        <f t="shared" si="64"/>
        <v>Lualaba</v>
      </c>
      <c r="G406" s="4" t="str">
        <f>IFERROR(VLOOKUP(C406,'Registre maintenance'!B:F,2,FALSE),"Non trouvé")</f>
        <v>Non trouvé</v>
      </c>
      <c r="H406" t="str">
        <f>IFERROR(VLOOKUP(C406,'Registre maintenance'!B:F,3,FALSE),"Non trouvé")</f>
        <v>Non trouvé</v>
      </c>
      <c r="I406" t="str">
        <f>IFERROR(VLOOKUP(C406,'Registre maintenance'!B:F,4,FALSE),"Non trouvé")</f>
        <v>Non trouvé</v>
      </c>
      <c r="J406" t="str">
        <f>IFERROR(VLOOKUP(C406,'Registre maintenance'!B:F,5,FALSE),"Non trouvé")</f>
        <v>Non trouvé</v>
      </c>
      <c r="K406" t="str">
        <f t="shared" si="61"/>
        <v>Mismatch</v>
      </c>
    </row>
    <row r="407" spans="1:11" x14ac:dyDescent="0.3">
      <c r="A407" t="s">
        <v>1119</v>
      </c>
      <c r="B407" s="1">
        <v>45211.106249999997</v>
      </c>
      <c r="C407" t="s">
        <v>1128</v>
      </c>
      <c r="D407">
        <v>107</v>
      </c>
      <c r="E407" t="s">
        <v>792</v>
      </c>
      <c r="F407" s="4" t="s">
        <v>28</v>
      </c>
      <c r="G407" s="4" t="str">
        <f>IFERROR(VLOOKUP(C407,'Registre maintenance'!B:F,2,FALSE),"Non trouvé")</f>
        <v>Kasai</v>
      </c>
      <c r="H407">
        <f>IFERROR(VLOOKUP(C407,'Registre maintenance'!B:F,3,FALSE),"Non trouvé")</f>
        <v>-5.125</v>
      </c>
      <c r="I407">
        <f>IFERROR(VLOOKUP(C407,'Registre maintenance'!B:F,4,FALSE),"Non trouvé")</f>
        <v>23.513119</v>
      </c>
      <c r="J407" t="str">
        <f>IFERROR(VLOOKUP(C407,'Registre maintenance'!B:F,5,FALSE),"Non trouvé")</f>
        <v>5G</v>
      </c>
      <c r="K407" t="str">
        <f t="shared" si="61"/>
        <v>OK</v>
      </c>
    </row>
    <row r="408" spans="1:11" x14ac:dyDescent="0.3">
      <c r="A408" t="s">
        <v>1119</v>
      </c>
      <c r="B408" s="1">
        <v>45217.701388888891</v>
      </c>
      <c r="C408" t="s">
        <v>930</v>
      </c>
      <c r="D408">
        <v>71</v>
      </c>
      <c r="E408" t="s">
        <v>795</v>
      </c>
      <c r="F408" s="4" t="str">
        <f>F407</f>
        <v>Kasai</v>
      </c>
      <c r="G408" s="4" t="str">
        <f>IFERROR(VLOOKUP(C408,'Registre maintenance'!B:F,2,FALSE),"Non trouvé")</f>
        <v>Non trouvé</v>
      </c>
      <c r="H408" t="str">
        <f>IFERROR(VLOOKUP(C408,'Registre maintenance'!B:F,3,FALSE),"Non trouvé")</f>
        <v>Non trouvé</v>
      </c>
      <c r="I408" t="str">
        <f>IFERROR(VLOOKUP(C408,'Registre maintenance'!B:F,4,FALSE),"Non trouvé")</f>
        <v>Non trouvé</v>
      </c>
      <c r="J408" t="str">
        <f>IFERROR(VLOOKUP(C408,'Registre maintenance'!B:F,5,FALSE),"Non trouvé")</f>
        <v>Non trouvé</v>
      </c>
      <c r="K408" t="str">
        <f t="shared" si="61"/>
        <v>Mismatch</v>
      </c>
    </row>
    <row r="409" spans="1:11" x14ac:dyDescent="0.3">
      <c r="A409" t="s">
        <v>1119</v>
      </c>
      <c r="B409" s="1">
        <v>45216.709027777782</v>
      </c>
      <c r="C409" t="s">
        <v>1129</v>
      </c>
      <c r="D409">
        <v>39</v>
      </c>
      <c r="E409" t="s">
        <v>792</v>
      </c>
      <c r="F409" s="4" t="s">
        <v>9</v>
      </c>
      <c r="G409" s="4" t="str">
        <f>IFERROR(VLOOKUP(C409,'Registre maintenance'!B:F,2,FALSE),"Non trouvé")</f>
        <v>Ituri</v>
      </c>
      <c r="H409">
        <f>IFERROR(VLOOKUP(C409,'Registre maintenance'!B:F,3,FALSE),"Non trouvé")</f>
        <v>-0.34051900000000002</v>
      </c>
      <c r="I409">
        <f>IFERROR(VLOOKUP(C409,'Registre maintenance'!B:F,4,FALSE),"Non trouvé")</f>
        <v>17.079799000000001</v>
      </c>
      <c r="J409" t="str">
        <f>IFERROR(VLOOKUP(C409,'Registre maintenance'!B:F,5,FALSE),"Non trouvé")</f>
        <v>5G</v>
      </c>
      <c r="K409" t="str">
        <f t="shared" si="61"/>
        <v>OK</v>
      </c>
    </row>
    <row r="410" spans="1:11" x14ac:dyDescent="0.3">
      <c r="A410" t="s">
        <v>1119</v>
      </c>
      <c r="B410" s="1">
        <v>45212.626388888893</v>
      </c>
      <c r="C410" t="s">
        <v>1130</v>
      </c>
      <c r="D410">
        <v>107</v>
      </c>
      <c r="E410" t="s">
        <v>795</v>
      </c>
      <c r="F410" s="4" t="str">
        <f t="shared" ref="F410:F411" si="65">F409</f>
        <v>Ituri</v>
      </c>
      <c r="G410" s="4" t="str">
        <f>IFERROR(VLOOKUP(C410,'Registre maintenance'!B:F,2,FALSE),"Non trouvé")</f>
        <v>Non trouvé</v>
      </c>
      <c r="H410" t="str">
        <f>IFERROR(VLOOKUP(C410,'Registre maintenance'!B:F,3,FALSE),"Non trouvé")</f>
        <v>Non trouvé</v>
      </c>
      <c r="I410" t="str">
        <f>IFERROR(VLOOKUP(C410,'Registre maintenance'!B:F,4,FALSE),"Non trouvé")</f>
        <v>Non trouvé</v>
      </c>
      <c r="J410" t="str">
        <f>IFERROR(VLOOKUP(C410,'Registre maintenance'!B:F,5,FALSE),"Non trouvé")</f>
        <v>Non trouvé</v>
      </c>
      <c r="K410" t="str">
        <f t="shared" si="61"/>
        <v>Mismatch</v>
      </c>
    </row>
    <row r="411" spans="1:11" x14ac:dyDescent="0.3">
      <c r="A411" t="s">
        <v>1119</v>
      </c>
      <c r="B411" s="1">
        <v>45220.515972222223</v>
      </c>
      <c r="C411" t="s">
        <v>1131</v>
      </c>
      <c r="D411">
        <v>15</v>
      </c>
      <c r="E411" t="s">
        <v>797</v>
      </c>
      <c r="F411" s="4" t="str">
        <f t="shared" si="65"/>
        <v>Ituri</v>
      </c>
      <c r="G411" s="4" t="str">
        <f>IFERROR(VLOOKUP(C411,'Registre maintenance'!B:F,2,FALSE),"Non trouvé")</f>
        <v>Non trouvé</v>
      </c>
      <c r="H411" t="str">
        <f>IFERROR(VLOOKUP(C411,'Registre maintenance'!B:F,3,FALSE),"Non trouvé")</f>
        <v>Non trouvé</v>
      </c>
      <c r="I411" t="str">
        <f>IFERROR(VLOOKUP(C411,'Registre maintenance'!B:F,4,FALSE),"Non trouvé")</f>
        <v>Non trouvé</v>
      </c>
      <c r="J411" t="str">
        <f>IFERROR(VLOOKUP(C411,'Registre maintenance'!B:F,5,FALSE),"Non trouvé")</f>
        <v>Non trouvé</v>
      </c>
      <c r="K411" t="str">
        <f t="shared" si="61"/>
        <v>Mismatch</v>
      </c>
    </row>
    <row r="412" spans="1:11" x14ac:dyDescent="0.3">
      <c r="A412" t="s">
        <v>1119</v>
      </c>
      <c r="B412" s="1">
        <v>45208.959027777782</v>
      </c>
      <c r="C412" t="s">
        <v>857</v>
      </c>
      <c r="D412">
        <v>98</v>
      </c>
      <c r="E412" t="s">
        <v>797</v>
      </c>
      <c r="F412" s="4" t="s">
        <v>129</v>
      </c>
      <c r="G412" s="4" t="str">
        <f>IFERROR(VLOOKUP(C412,'Registre maintenance'!B:F,2,FALSE),"Non trouvé")</f>
        <v>Nord-Kivu</v>
      </c>
      <c r="H412">
        <f>IFERROR(VLOOKUP(C412,'Registre maintenance'!B:F,3,FALSE),"Non trouvé")</f>
        <v>0.82868600000000003</v>
      </c>
      <c r="I412">
        <f>IFERROR(VLOOKUP(C412,'Registre maintenance'!B:F,4,FALSE),"Non trouvé")</f>
        <v>26.958843999999999</v>
      </c>
      <c r="J412" t="str">
        <f>IFERROR(VLOOKUP(C412,'Registre maintenance'!B:F,5,FALSE),"Non trouvé")</f>
        <v>5G</v>
      </c>
      <c r="K412" t="str">
        <f t="shared" si="61"/>
        <v>OK</v>
      </c>
    </row>
    <row r="413" spans="1:11" x14ac:dyDescent="0.3">
      <c r="A413" t="s">
        <v>1119</v>
      </c>
      <c r="B413" s="1">
        <v>45211.098611111112</v>
      </c>
      <c r="C413" t="s">
        <v>1132</v>
      </c>
      <c r="D413">
        <v>59</v>
      </c>
      <c r="E413" t="s">
        <v>797</v>
      </c>
      <c r="F413" s="4" t="s">
        <v>30</v>
      </c>
      <c r="G413" s="4" t="str">
        <f>IFERROR(VLOOKUP(C413,'Registre maintenance'!B:F,2,FALSE),"Non trouvé")</f>
        <v>Sud-Ubangi</v>
      </c>
      <c r="H413">
        <f>IFERROR(VLOOKUP(C413,'Registre maintenance'!B:F,3,FALSE),"Non trouvé")</f>
        <v>-11.387295999999999</v>
      </c>
      <c r="I413">
        <f>IFERROR(VLOOKUP(C413,'Registre maintenance'!B:F,4,FALSE),"Non trouvé")</f>
        <v>19.384257999999999</v>
      </c>
      <c r="J413" t="str">
        <f>IFERROR(VLOOKUP(C413,'Registre maintenance'!B:F,5,FALSE),"Non trouvé")</f>
        <v>3G</v>
      </c>
      <c r="K413" t="str">
        <f t="shared" si="61"/>
        <v>OK</v>
      </c>
    </row>
    <row r="414" spans="1:11" x14ac:dyDescent="0.3">
      <c r="A414" t="s">
        <v>1119</v>
      </c>
      <c r="B414" s="1">
        <v>45207.987500000003</v>
      </c>
      <c r="C414" t="s">
        <v>1133</v>
      </c>
      <c r="D414">
        <v>15</v>
      </c>
      <c r="E414" t="s">
        <v>795</v>
      </c>
      <c r="F414" s="4" t="s">
        <v>39</v>
      </c>
      <c r="G414" s="4" t="str">
        <f>IFERROR(VLOOKUP(C414,'Registre maintenance'!B:F,2,FALSE),"Non trouvé")</f>
        <v>Kwango</v>
      </c>
      <c r="H414">
        <f>IFERROR(VLOOKUP(C414,'Registre maintenance'!B:F,3,FALSE),"Non trouvé")</f>
        <v>-9.0798120000000004</v>
      </c>
      <c r="I414">
        <f>IFERROR(VLOOKUP(C414,'Registre maintenance'!B:F,4,FALSE),"Non trouvé")</f>
        <v>14.945484</v>
      </c>
      <c r="J414" t="str">
        <f>IFERROR(VLOOKUP(C414,'Registre maintenance'!B:F,5,FALSE),"Non trouvé")</f>
        <v>5G</v>
      </c>
      <c r="K414" t="str">
        <f t="shared" si="61"/>
        <v>OK</v>
      </c>
    </row>
    <row r="415" spans="1:11" x14ac:dyDescent="0.3">
      <c r="A415" t="s">
        <v>1119</v>
      </c>
      <c r="B415" s="1">
        <v>45220.15902777778</v>
      </c>
      <c r="C415" t="s">
        <v>1134</v>
      </c>
      <c r="D415">
        <v>60</v>
      </c>
      <c r="E415" t="s">
        <v>797</v>
      </c>
      <c r="F415" s="4" t="str">
        <f>F414</f>
        <v>Kwango</v>
      </c>
      <c r="G415" s="4" t="str">
        <f>IFERROR(VLOOKUP(C415,'Registre maintenance'!B:F,2,FALSE),"Non trouvé")</f>
        <v>Non trouvé</v>
      </c>
      <c r="H415" t="str">
        <f>IFERROR(VLOOKUP(C415,'Registre maintenance'!B:F,3,FALSE),"Non trouvé")</f>
        <v>Non trouvé</v>
      </c>
      <c r="I415" t="str">
        <f>IFERROR(VLOOKUP(C415,'Registre maintenance'!B:F,4,FALSE),"Non trouvé")</f>
        <v>Non trouvé</v>
      </c>
      <c r="J415" t="str">
        <f>IFERROR(VLOOKUP(C415,'Registre maintenance'!B:F,5,FALSE),"Non trouvé")</f>
        <v>Non trouvé</v>
      </c>
      <c r="K415" t="str">
        <f t="shared" si="61"/>
        <v>Mismatch</v>
      </c>
    </row>
    <row r="416" spans="1:11" x14ac:dyDescent="0.3">
      <c r="A416" t="s">
        <v>1119</v>
      </c>
      <c r="B416" s="1">
        <v>45218.991666666669</v>
      </c>
      <c r="C416" t="s">
        <v>1065</v>
      </c>
      <c r="D416">
        <v>82</v>
      </c>
      <c r="E416" t="s">
        <v>792</v>
      </c>
      <c r="F416" s="4" t="s">
        <v>9</v>
      </c>
      <c r="G416" s="4" t="str">
        <f>IFERROR(VLOOKUP(C416,'Registre maintenance'!B:F,2,FALSE),"Non trouvé")</f>
        <v>Ituri</v>
      </c>
      <c r="H416">
        <f>IFERROR(VLOOKUP(C416,'Registre maintenance'!B:F,3,FALSE),"Non trouvé")</f>
        <v>-3.7720639999999999</v>
      </c>
      <c r="I416">
        <f>IFERROR(VLOOKUP(C416,'Registre maintenance'!B:F,4,FALSE),"Non trouvé")</f>
        <v>16.006277999999998</v>
      </c>
      <c r="J416" t="str">
        <f>IFERROR(VLOOKUP(C416,'Registre maintenance'!B:F,5,FALSE),"Non trouvé")</f>
        <v>5G</v>
      </c>
      <c r="K416" t="str">
        <f t="shared" si="61"/>
        <v>OK</v>
      </c>
    </row>
    <row r="417" spans="1:11" x14ac:dyDescent="0.3">
      <c r="A417" t="s">
        <v>1119</v>
      </c>
      <c r="B417" s="1">
        <v>45210.168055555558</v>
      </c>
      <c r="C417" t="s">
        <v>1135</v>
      </c>
      <c r="D417">
        <v>110</v>
      </c>
      <c r="E417" t="s">
        <v>792</v>
      </c>
      <c r="F417" s="4" t="s">
        <v>36</v>
      </c>
      <c r="G417" s="4" t="str">
        <f>IFERROR(VLOOKUP(C417,'Registre maintenance'!B:F,2,FALSE),"Non trouvé")</f>
        <v>Tanganyika</v>
      </c>
      <c r="H417">
        <f>IFERROR(VLOOKUP(C417,'Registre maintenance'!B:F,3,FALSE),"Non trouvé")</f>
        <v>-9.9565739999999998</v>
      </c>
      <c r="I417">
        <f>IFERROR(VLOOKUP(C417,'Registre maintenance'!B:F,4,FALSE),"Non trouvé")</f>
        <v>21.017202000000001</v>
      </c>
      <c r="J417" t="str">
        <f>IFERROR(VLOOKUP(C417,'Registre maintenance'!B:F,5,FALSE),"Non trouvé")</f>
        <v>4G</v>
      </c>
      <c r="K417" t="str">
        <f t="shared" si="61"/>
        <v>OK</v>
      </c>
    </row>
    <row r="418" spans="1:11" x14ac:dyDescent="0.3">
      <c r="A418" t="s">
        <v>1119</v>
      </c>
      <c r="B418" s="1">
        <v>45211.722916666673</v>
      </c>
      <c r="C418" t="s">
        <v>1136</v>
      </c>
      <c r="D418">
        <v>28</v>
      </c>
      <c r="E418" t="s">
        <v>792</v>
      </c>
      <c r="F418" s="4" t="str">
        <f>F417</f>
        <v>Tanganyika</v>
      </c>
      <c r="G418" s="4" t="str">
        <f>IFERROR(VLOOKUP(C418,'Registre maintenance'!B:F,2,FALSE),"Non trouvé")</f>
        <v>Non trouvé</v>
      </c>
      <c r="H418" t="str">
        <f>IFERROR(VLOOKUP(C418,'Registre maintenance'!B:F,3,FALSE),"Non trouvé")</f>
        <v>Non trouvé</v>
      </c>
      <c r="I418" t="str">
        <f>IFERROR(VLOOKUP(C418,'Registre maintenance'!B:F,4,FALSE),"Non trouvé")</f>
        <v>Non trouvé</v>
      </c>
      <c r="J418" t="str">
        <f>IFERROR(VLOOKUP(C418,'Registre maintenance'!B:F,5,FALSE),"Non trouvé")</f>
        <v>Non trouvé</v>
      </c>
      <c r="K418" t="str">
        <f t="shared" si="61"/>
        <v>Mismatch</v>
      </c>
    </row>
    <row r="419" spans="1:11" x14ac:dyDescent="0.3">
      <c r="A419" t="s">
        <v>1119</v>
      </c>
      <c r="B419" s="1">
        <v>45226.84097222222</v>
      </c>
      <c r="C419" t="s">
        <v>1137</v>
      </c>
      <c r="D419">
        <v>74</v>
      </c>
      <c r="E419" t="s">
        <v>795</v>
      </c>
      <c r="F419" s="4" t="s">
        <v>63</v>
      </c>
      <c r="G419" s="4" t="str">
        <f>IFERROR(VLOOKUP(C419,'Registre maintenance'!B:F,2,FALSE),"Non trouvé")</f>
        <v>Kinshasa</v>
      </c>
      <c r="H419">
        <f>IFERROR(VLOOKUP(C419,'Registre maintenance'!B:F,3,FALSE),"Non trouvé")</f>
        <v>-11.389362</v>
      </c>
      <c r="I419">
        <f>IFERROR(VLOOKUP(C419,'Registre maintenance'!B:F,4,FALSE),"Non trouvé")</f>
        <v>22.240174</v>
      </c>
      <c r="J419" t="str">
        <f>IFERROR(VLOOKUP(C419,'Registre maintenance'!B:F,5,FALSE),"Non trouvé")</f>
        <v>5G</v>
      </c>
      <c r="K419" t="str">
        <f t="shared" si="61"/>
        <v>OK</v>
      </c>
    </row>
    <row r="420" spans="1:11" x14ac:dyDescent="0.3">
      <c r="A420" t="s">
        <v>1119</v>
      </c>
      <c r="B420" s="1">
        <v>45226.895138888889</v>
      </c>
      <c r="C420" t="s">
        <v>1138</v>
      </c>
      <c r="D420">
        <v>42</v>
      </c>
      <c r="E420" t="s">
        <v>792</v>
      </c>
      <c r="F420" s="4" t="str">
        <f>F419</f>
        <v>Kinshasa</v>
      </c>
      <c r="G420" s="4" t="str">
        <f>IFERROR(VLOOKUP(C420,'Registre maintenance'!B:F,2,FALSE),"Non trouvé")</f>
        <v>Non trouvé</v>
      </c>
      <c r="H420" t="str">
        <f>IFERROR(VLOOKUP(C420,'Registre maintenance'!B:F,3,FALSE),"Non trouvé")</f>
        <v>Non trouvé</v>
      </c>
      <c r="I420" t="str">
        <f>IFERROR(VLOOKUP(C420,'Registre maintenance'!B:F,4,FALSE),"Non trouvé")</f>
        <v>Non trouvé</v>
      </c>
      <c r="J420" t="str">
        <f>IFERROR(VLOOKUP(C420,'Registre maintenance'!B:F,5,FALSE),"Non trouvé")</f>
        <v>Non trouvé</v>
      </c>
      <c r="K420" t="str">
        <f t="shared" si="61"/>
        <v>Mismatch</v>
      </c>
    </row>
    <row r="421" spans="1:11" x14ac:dyDescent="0.3">
      <c r="A421" t="s">
        <v>1119</v>
      </c>
      <c r="B421" s="1">
        <v>45222.652777777781</v>
      </c>
      <c r="C421" t="s">
        <v>1139</v>
      </c>
      <c r="D421">
        <v>46</v>
      </c>
      <c r="E421" t="s">
        <v>797</v>
      </c>
      <c r="F421" s="4" t="s">
        <v>66</v>
      </c>
      <c r="G421" s="4" t="str">
        <f>IFERROR(VLOOKUP(C421,'Registre maintenance'!B:F,2,FALSE),"Non trouvé")</f>
        <v>Lomami</v>
      </c>
      <c r="H421">
        <f>IFERROR(VLOOKUP(C421,'Registre maintenance'!B:F,3,FALSE),"Non trouvé")</f>
        <v>-11.266565999999999</v>
      </c>
      <c r="I421">
        <f>IFERROR(VLOOKUP(C421,'Registre maintenance'!B:F,4,FALSE),"Non trouvé")</f>
        <v>26.245055000000001</v>
      </c>
      <c r="J421" t="str">
        <f>IFERROR(VLOOKUP(C421,'Registre maintenance'!B:F,5,FALSE),"Non trouvé")</f>
        <v>3G</v>
      </c>
      <c r="K421" t="str">
        <f t="shared" si="61"/>
        <v>OK</v>
      </c>
    </row>
    <row r="422" spans="1:11" x14ac:dyDescent="0.3">
      <c r="A422" t="s">
        <v>1119</v>
      </c>
      <c r="B422" s="1">
        <v>45205.169444444437</v>
      </c>
      <c r="C422" t="s">
        <v>1140</v>
      </c>
      <c r="D422">
        <v>18</v>
      </c>
      <c r="E422" t="s">
        <v>795</v>
      </c>
      <c r="F422" s="4" t="s">
        <v>28</v>
      </c>
      <c r="G422" s="4" t="str">
        <f>IFERROR(VLOOKUP(C422,'Registre maintenance'!B:F,2,FALSE),"Non trouvé")</f>
        <v>Kasai</v>
      </c>
      <c r="H422">
        <f>IFERROR(VLOOKUP(C422,'Registre maintenance'!B:F,3,FALSE),"Non trouvé")</f>
        <v>4.8689660000000003</v>
      </c>
      <c r="I422">
        <f>IFERROR(VLOOKUP(C422,'Registre maintenance'!B:F,4,FALSE),"Non trouvé")</f>
        <v>25.112373000000002</v>
      </c>
      <c r="J422" t="str">
        <f>IFERROR(VLOOKUP(C422,'Registre maintenance'!B:F,5,FALSE),"Non trouvé")</f>
        <v>3G</v>
      </c>
      <c r="K422" t="str">
        <f t="shared" si="61"/>
        <v>OK</v>
      </c>
    </row>
    <row r="423" spans="1:11" x14ac:dyDescent="0.3">
      <c r="A423" t="s">
        <v>1119</v>
      </c>
      <c r="B423" s="1">
        <v>45222.584722222222</v>
      </c>
      <c r="C423" t="s">
        <v>1141</v>
      </c>
      <c r="D423">
        <v>15</v>
      </c>
      <c r="E423" t="s">
        <v>797</v>
      </c>
      <c r="F423" s="4" t="s">
        <v>59</v>
      </c>
      <c r="G423" s="4" t="str">
        <f>IFERROR(VLOOKUP(C423,'Registre maintenance'!B:F,2,FALSE),"Non trouvé")</f>
        <v>Equateur</v>
      </c>
      <c r="H423">
        <f>IFERROR(VLOOKUP(C423,'Registre maintenance'!B:F,3,FALSE),"Non trouvé")</f>
        <v>-9.1215879999999991</v>
      </c>
      <c r="I423">
        <f>IFERROR(VLOOKUP(C423,'Registre maintenance'!B:F,4,FALSE),"Non trouvé")</f>
        <v>16.457916999999998</v>
      </c>
      <c r="J423" t="str">
        <f>IFERROR(VLOOKUP(C423,'Registre maintenance'!B:F,5,FALSE),"Non trouvé")</f>
        <v>4G</v>
      </c>
      <c r="K423" t="str">
        <f t="shared" si="61"/>
        <v>OK</v>
      </c>
    </row>
    <row r="424" spans="1:11" x14ac:dyDescent="0.3">
      <c r="A424" t="s">
        <v>1119</v>
      </c>
      <c r="B424" s="1">
        <v>45209.251388888893</v>
      </c>
      <c r="C424" t="s">
        <v>1046</v>
      </c>
      <c r="D424">
        <v>46</v>
      </c>
      <c r="E424" t="s">
        <v>795</v>
      </c>
      <c r="F424" s="4" t="str">
        <f>F423</f>
        <v>Equateur</v>
      </c>
      <c r="G424" s="4" t="str">
        <f>IFERROR(VLOOKUP(C424,'Registre maintenance'!B:F,2,FALSE),"Non trouvé")</f>
        <v>Non trouvé</v>
      </c>
      <c r="H424" t="str">
        <f>IFERROR(VLOOKUP(C424,'Registre maintenance'!B:F,3,FALSE),"Non trouvé")</f>
        <v>Non trouvé</v>
      </c>
      <c r="I424" t="str">
        <f>IFERROR(VLOOKUP(C424,'Registre maintenance'!B:F,4,FALSE),"Non trouvé")</f>
        <v>Non trouvé</v>
      </c>
      <c r="J424" t="str">
        <f>IFERROR(VLOOKUP(C424,'Registre maintenance'!B:F,5,FALSE),"Non trouvé")</f>
        <v>Non trouvé</v>
      </c>
      <c r="K424" t="str">
        <f t="shared" si="61"/>
        <v>Mismatch</v>
      </c>
    </row>
    <row r="425" spans="1:11" x14ac:dyDescent="0.3">
      <c r="A425" t="s">
        <v>1119</v>
      </c>
      <c r="B425" s="1">
        <v>45225.288888888892</v>
      </c>
      <c r="C425" t="s">
        <v>1092</v>
      </c>
      <c r="D425">
        <v>89</v>
      </c>
      <c r="E425" t="s">
        <v>792</v>
      </c>
      <c r="F425" s="4" t="s">
        <v>17</v>
      </c>
      <c r="G425" s="4" t="str">
        <f>IFERROR(VLOOKUP(C425,'Registre maintenance'!B:F,2,FALSE),"Non trouvé")</f>
        <v>Haut-Lomami</v>
      </c>
      <c r="H425">
        <f>IFERROR(VLOOKUP(C425,'Registre maintenance'!B:F,3,FALSE),"Non trouvé")</f>
        <v>0.16327700000000001</v>
      </c>
      <c r="I425">
        <f>IFERROR(VLOOKUP(C425,'Registre maintenance'!B:F,4,FALSE),"Non trouvé")</f>
        <v>14.871577</v>
      </c>
      <c r="J425" t="str">
        <f>IFERROR(VLOOKUP(C425,'Registre maintenance'!B:F,5,FALSE),"Non trouvé")</f>
        <v>4G</v>
      </c>
      <c r="K425" t="str">
        <f t="shared" si="61"/>
        <v>OK</v>
      </c>
    </row>
    <row r="426" spans="1:11" x14ac:dyDescent="0.3">
      <c r="A426" t="s">
        <v>1119</v>
      </c>
      <c r="B426" s="1">
        <v>45201.457638888889</v>
      </c>
      <c r="C426" t="s">
        <v>1142</v>
      </c>
      <c r="D426">
        <v>42</v>
      </c>
      <c r="E426" t="s">
        <v>797</v>
      </c>
      <c r="F426" s="4" t="str">
        <f t="shared" ref="F426:F440" si="66">F425</f>
        <v>Haut-Lomami</v>
      </c>
      <c r="G426" s="4" t="str">
        <f>IFERROR(VLOOKUP(C426,'Registre maintenance'!B:F,2,FALSE),"Non trouvé")</f>
        <v>Non trouvé</v>
      </c>
      <c r="H426" t="str">
        <f>IFERROR(VLOOKUP(C426,'Registre maintenance'!B:F,3,FALSE),"Non trouvé")</f>
        <v>Non trouvé</v>
      </c>
      <c r="I426" t="str">
        <f>IFERROR(VLOOKUP(C426,'Registre maintenance'!B:F,4,FALSE),"Non trouvé")</f>
        <v>Non trouvé</v>
      </c>
      <c r="J426" t="str">
        <f>IFERROR(VLOOKUP(C426,'Registre maintenance'!B:F,5,FALSE),"Non trouvé")</f>
        <v>Non trouvé</v>
      </c>
      <c r="K426" t="str">
        <f t="shared" si="61"/>
        <v>Mismatch</v>
      </c>
    </row>
    <row r="427" spans="1:11" x14ac:dyDescent="0.3">
      <c r="A427" t="s">
        <v>1119</v>
      </c>
      <c r="B427" s="1">
        <v>45209.684027777781</v>
      </c>
      <c r="C427" t="s">
        <v>991</v>
      </c>
      <c r="D427">
        <v>44</v>
      </c>
      <c r="E427" t="s">
        <v>797</v>
      </c>
      <c r="F427" s="4" t="str">
        <f t="shared" si="66"/>
        <v>Haut-Lomami</v>
      </c>
      <c r="G427" s="4" t="str">
        <f>IFERROR(VLOOKUP(C427,'Registre maintenance'!B:F,2,FALSE),"Non trouvé")</f>
        <v>Non trouvé</v>
      </c>
      <c r="H427" t="str">
        <f>IFERROR(VLOOKUP(C427,'Registre maintenance'!B:F,3,FALSE),"Non trouvé")</f>
        <v>Non trouvé</v>
      </c>
      <c r="I427" t="str">
        <f>IFERROR(VLOOKUP(C427,'Registre maintenance'!B:F,4,FALSE),"Non trouvé")</f>
        <v>Non trouvé</v>
      </c>
      <c r="J427" t="str">
        <f>IFERROR(VLOOKUP(C427,'Registre maintenance'!B:F,5,FALSE),"Non trouvé")</f>
        <v>Non trouvé</v>
      </c>
      <c r="K427" t="str">
        <f t="shared" si="61"/>
        <v>Mismatch</v>
      </c>
    </row>
    <row r="428" spans="1:11" x14ac:dyDescent="0.3">
      <c r="A428" t="s">
        <v>1119</v>
      </c>
      <c r="B428" s="1">
        <v>45226.729166666657</v>
      </c>
      <c r="C428" t="s">
        <v>1143</v>
      </c>
      <c r="D428">
        <v>62</v>
      </c>
      <c r="E428" t="s">
        <v>795</v>
      </c>
      <c r="F428" s="4" t="str">
        <f t="shared" si="66"/>
        <v>Haut-Lomami</v>
      </c>
      <c r="G428" s="4" t="str">
        <f>IFERROR(VLOOKUP(C428,'Registre maintenance'!B:F,2,FALSE),"Non trouvé")</f>
        <v>Non trouvé</v>
      </c>
      <c r="H428" t="str">
        <f>IFERROR(VLOOKUP(C428,'Registre maintenance'!B:F,3,FALSE),"Non trouvé")</f>
        <v>Non trouvé</v>
      </c>
      <c r="I428" t="str">
        <f>IFERROR(VLOOKUP(C428,'Registre maintenance'!B:F,4,FALSE),"Non trouvé")</f>
        <v>Non trouvé</v>
      </c>
      <c r="J428" t="str">
        <f>IFERROR(VLOOKUP(C428,'Registre maintenance'!B:F,5,FALSE),"Non trouvé")</f>
        <v>Non trouvé</v>
      </c>
      <c r="K428" t="str">
        <f t="shared" si="61"/>
        <v>Mismatch</v>
      </c>
    </row>
    <row r="429" spans="1:11" x14ac:dyDescent="0.3">
      <c r="A429" t="s">
        <v>1119</v>
      </c>
      <c r="B429" s="1">
        <v>45208.074999999997</v>
      </c>
      <c r="C429" t="s">
        <v>1048</v>
      </c>
      <c r="D429">
        <v>82</v>
      </c>
      <c r="E429" t="s">
        <v>797</v>
      </c>
      <c r="F429" s="4" t="str">
        <f t="shared" si="66"/>
        <v>Haut-Lomami</v>
      </c>
      <c r="G429" s="4" t="str">
        <f>IFERROR(VLOOKUP(C429,'Registre maintenance'!B:F,2,FALSE),"Non trouvé")</f>
        <v>Non trouvé</v>
      </c>
      <c r="H429" t="str">
        <f>IFERROR(VLOOKUP(C429,'Registre maintenance'!B:F,3,FALSE),"Non trouvé")</f>
        <v>Non trouvé</v>
      </c>
      <c r="I429" t="str">
        <f>IFERROR(VLOOKUP(C429,'Registre maintenance'!B:F,4,FALSE),"Non trouvé")</f>
        <v>Non trouvé</v>
      </c>
      <c r="J429" t="str">
        <f>IFERROR(VLOOKUP(C429,'Registre maintenance'!B:F,5,FALSE),"Non trouvé")</f>
        <v>Non trouvé</v>
      </c>
      <c r="K429" t="str">
        <f t="shared" si="61"/>
        <v>Mismatch</v>
      </c>
    </row>
    <row r="430" spans="1:11" x14ac:dyDescent="0.3">
      <c r="A430" t="s">
        <v>1119</v>
      </c>
      <c r="B430" s="1">
        <v>45220.262499999997</v>
      </c>
      <c r="C430" t="s">
        <v>1144</v>
      </c>
      <c r="D430">
        <v>96</v>
      </c>
      <c r="E430" t="s">
        <v>792</v>
      </c>
      <c r="F430" s="4" t="str">
        <f t="shared" si="66"/>
        <v>Haut-Lomami</v>
      </c>
      <c r="G430" s="4" t="str">
        <f>IFERROR(VLOOKUP(C430,'Registre maintenance'!B:F,2,FALSE),"Non trouvé")</f>
        <v>Non trouvé</v>
      </c>
      <c r="H430" t="str">
        <f>IFERROR(VLOOKUP(C430,'Registre maintenance'!B:F,3,FALSE),"Non trouvé")</f>
        <v>Non trouvé</v>
      </c>
      <c r="I430" t="str">
        <f>IFERROR(VLOOKUP(C430,'Registre maintenance'!B:F,4,FALSE),"Non trouvé")</f>
        <v>Non trouvé</v>
      </c>
      <c r="J430" t="str">
        <f>IFERROR(VLOOKUP(C430,'Registre maintenance'!B:F,5,FALSE),"Non trouvé")</f>
        <v>Non trouvé</v>
      </c>
      <c r="K430" t="str">
        <f t="shared" si="61"/>
        <v>Mismatch</v>
      </c>
    </row>
    <row r="431" spans="1:11" x14ac:dyDescent="0.3">
      <c r="A431" t="s">
        <v>1119</v>
      </c>
      <c r="B431" s="1">
        <v>45211.079861111109</v>
      </c>
      <c r="C431" t="s">
        <v>1145</v>
      </c>
      <c r="D431">
        <v>59</v>
      </c>
      <c r="E431" t="s">
        <v>795</v>
      </c>
      <c r="F431" s="4" t="str">
        <f t="shared" si="66"/>
        <v>Haut-Lomami</v>
      </c>
      <c r="G431" s="4" t="str">
        <f>IFERROR(VLOOKUP(C431,'Registre maintenance'!B:F,2,FALSE),"Non trouvé")</f>
        <v>Non trouvé</v>
      </c>
      <c r="H431" t="str">
        <f>IFERROR(VLOOKUP(C431,'Registre maintenance'!B:F,3,FALSE),"Non trouvé")</f>
        <v>Non trouvé</v>
      </c>
      <c r="I431" t="str">
        <f>IFERROR(VLOOKUP(C431,'Registre maintenance'!B:F,4,FALSE),"Non trouvé")</f>
        <v>Non trouvé</v>
      </c>
      <c r="J431" t="str">
        <f>IFERROR(VLOOKUP(C431,'Registre maintenance'!B:F,5,FALSE),"Non trouvé")</f>
        <v>Non trouvé</v>
      </c>
      <c r="K431" t="str">
        <f t="shared" si="61"/>
        <v>Mismatch</v>
      </c>
    </row>
    <row r="432" spans="1:11" x14ac:dyDescent="0.3">
      <c r="A432" t="s">
        <v>1119</v>
      </c>
      <c r="B432" s="1">
        <v>45220.428472222222</v>
      </c>
      <c r="C432" t="s">
        <v>819</v>
      </c>
      <c r="D432">
        <v>26</v>
      </c>
      <c r="E432" t="s">
        <v>797</v>
      </c>
      <c r="F432" s="4" t="str">
        <f t="shared" si="66"/>
        <v>Haut-Lomami</v>
      </c>
      <c r="G432" s="4" t="str">
        <f>IFERROR(VLOOKUP(C432,'Registre maintenance'!B:F,2,FALSE),"Non trouvé")</f>
        <v>Non trouvé</v>
      </c>
      <c r="H432" t="str">
        <f>IFERROR(VLOOKUP(C432,'Registre maintenance'!B:F,3,FALSE),"Non trouvé")</f>
        <v>Non trouvé</v>
      </c>
      <c r="I432" t="str">
        <f>IFERROR(VLOOKUP(C432,'Registre maintenance'!B:F,4,FALSE),"Non trouvé")</f>
        <v>Non trouvé</v>
      </c>
      <c r="J432" t="str">
        <f>IFERROR(VLOOKUP(C432,'Registre maintenance'!B:F,5,FALSE),"Non trouvé")</f>
        <v>Non trouvé</v>
      </c>
      <c r="K432" t="str">
        <f t="shared" si="61"/>
        <v>Mismatch</v>
      </c>
    </row>
    <row r="433" spans="1:11" x14ac:dyDescent="0.3">
      <c r="A433" t="s">
        <v>1119</v>
      </c>
      <c r="B433" s="1">
        <v>45203.477083333331</v>
      </c>
      <c r="C433" t="s">
        <v>1146</v>
      </c>
      <c r="D433">
        <v>93</v>
      </c>
      <c r="E433" t="s">
        <v>795</v>
      </c>
      <c r="F433" s="4" t="str">
        <f t="shared" si="66"/>
        <v>Haut-Lomami</v>
      </c>
      <c r="G433" s="4" t="str">
        <f>IFERROR(VLOOKUP(C433,'Registre maintenance'!B:F,2,FALSE),"Non trouvé")</f>
        <v>Non trouvé</v>
      </c>
      <c r="H433" t="str">
        <f>IFERROR(VLOOKUP(C433,'Registre maintenance'!B:F,3,FALSE),"Non trouvé")</f>
        <v>Non trouvé</v>
      </c>
      <c r="I433" t="str">
        <f>IFERROR(VLOOKUP(C433,'Registre maintenance'!B:F,4,FALSE),"Non trouvé")</f>
        <v>Non trouvé</v>
      </c>
      <c r="J433" t="str">
        <f>IFERROR(VLOOKUP(C433,'Registre maintenance'!B:F,5,FALSE),"Non trouvé")</f>
        <v>Non trouvé</v>
      </c>
      <c r="K433" t="str">
        <f t="shared" si="61"/>
        <v>Mismatch</v>
      </c>
    </row>
    <row r="434" spans="1:11" x14ac:dyDescent="0.3">
      <c r="A434" t="s">
        <v>1147</v>
      </c>
      <c r="B434" s="1">
        <v>45202.912499999999</v>
      </c>
      <c r="C434" t="s">
        <v>1148</v>
      </c>
      <c r="D434">
        <v>68</v>
      </c>
      <c r="E434" t="s">
        <v>797</v>
      </c>
      <c r="F434" s="4" t="str">
        <f t="shared" si="66"/>
        <v>Haut-Lomami</v>
      </c>
      <c r="G434" s="4" t="str">
        <f>IFERROR(VLOOKUP(C434,'Registre maintenance'!B:F,2,FALSE),"Non trouvé")</f>
        <v>Non trouvé</v>
      </c>
      <c r="H434" t="str">
        <f>IFERROR(VLOOKUP(C434,'Registre maintenance'!B:F,3,FALSE),"Non trouvé")</f>
        <v>Non trouvé</v>
      </c>
      <c r="I434" t="str">
        <f>IFERROR(VLOOKUP(C434,'Registre maintenance'!B:F,4,FALSE),"Non trouvé")</f>
        <v>Non trouvé</v>
      </c>
      <c r="J434" t="str">
        <f>IFERROR(VLOOKUP(C434,'Registre maintenance'!B:F,5,FALSE),"Non trouvé")</f>
        <v>Non trouvé</v>
      </c>
      <c r="K434" t="str">
        <f t="shared" si="61"/>
        <v>Mismatch</v>
      </c>
    </row>
    <row r="435" spans="1:11" x14ac:dyDescent="0.3">
      <c r="A435" t="s">
        <v>1147</v>
      </c>
      <c r="B435" s="1">
        <v>45210.890277777777</v>
      </c>
      <c r="C435" t="s">
        <v>986</v>
      </c>
      <c r="D435">
        <v>118</v>
      </c>
      <c r="E435" t="s">
        <v>792</v>
      </c>
      <c r="F435" s="4" t="str">
        <f t="shared" si="66"/>
        <v>Haut-Lomami</v>
      </c>
      <c r="G435" s="4" t="str">
        <f>IFERROR(VLOOKUP(C435,'Registre maintenance'!B:F,2,FALSE),"Non trouvé")</f>
        <v>Non trouvé</v>
      </c>
      <c r="H435" t="str">
        <f>IFERROR(VLOOKUP(C435,'Registre maintenance'!B:F,3,FALSE),"Non trouvé")</f>
        <v>Non trouvé</v>
      </c>
      <c r="I435" t="str">
        <f>IFERROR(VLOOKUP(C435,'Registre maintenance'!B:F,4,FALSE),"Non trouvé")</f>
        <v>Non trouvé</v>
      </c>
      <c r="J435" t="str">
        <f>IFERROR(VLOOKUP(C435,'Registre maintenance'!B:F,5,FALSE),"Non trouvé")</f>
        <v>Non trouvé</v>
      </c>
      <c r="K435" t="str">
        <f t="shared" si="61"/>
        <v>Mismatch</v>
      </c>
    </row>
    <row r="436" spans="1:11" x14ac:dyDescent="0.3">
      <c r="A436" t="s">
        <v>1147</v>
      </c>
      <c r="B436" s="1">
        <v>45222.107638888891</v>
      </c>
      <c r="C436" t="s">
        <v>905</v>
      </c>
      <c r="D436">
        <v>85</v>
      </c>
      <c r="E436" t="s">
        <v>792</v>
      </c>
      <c r="F436" s="4" t="str">
        <f t="shared" si="66"/>
        <v>Haut-Lomami</v>
      </c>
      <c r="G436" s="4" t="str">
        <f>IFERROR(VLOOKUP(C436,'Registre maintenance'!B:F,2,FALSE),"Non trouvé")</f>
        <v>Non trouvé</v>
      </c>
      <c r="H436" t="str">
        <f>IFERROR(VLOOKUP(C436,'Registre maintenance'!B:F,3,FALSE),"Non trouvé")</f>
        <v>Non trouvé</v>
      </c>
      <c r="I436" t="str">
        <f>IFERROR(VLOOKUP(C436,'Registre maintenance'!B:F,4,FALSE),"Non trouvé")</f>
        <v>Non trouvé</v>
      </c>
      <c r="J436" t="str">
        <f>IFERROR(VLOOKUP(C436,'Registre maintenance'!B:F,5,FALSE),"Non trouvé")</f>
        <v>Non trouvé</v>
      </c>
      <c r="K436" t="str">
        <f t="shared" si="61"/>
        <v>Mismatch</v>
      </c>
    </row>
    <row r="437" spans="1:11" x14ac:dyDescent="0.3">
      <c r="A437" t="s">
        <v>1147</v>
      </c>
      <c r="B437" s="1">
        <v>45217.414583333331</v>
      </c>
      <c r="C437" t="s">
        <v>908</v>
      </c>
      <c r="D437">
        <v>74</v>
      </c>
      <c r="E437" t="s">
        <v>797</v>
      </c>
      <c r="F437" s="4" t="str">
        <f t="shared" si="66"/>
        <v>Haut-Lomami</v>
      </c>
      <c r="G437" s="4" t="str">
        <f>IFERROR(VLOOKUP(C437,'Registre maintenance'!B:F,2,FALSE),"Non trouvé")</f>
        <v>Non trouvé</v>
      </c>
      <c r="H437" t="str">
        <f>IFERROR(VLOOKUP(C437,'Registre maintenance'!B:F,3,FALSE),"Non trouvé")</f>
        <v>Non trouvé</v>
      </c>
      <c r="I437" t="str">
        <f>IFERROR(VLOOKUP(C437,'Registre maintenance'!B:F,4,FALSE),"Non trouvé")</f>
        <v>Non trouvé</v>
      </c>
      <c r="J437" t="str">
        <f>IFERROR(VLOOKUP(C437,'Registre maintenance'!B:F,5,FALSE),"Non trouvé")</f>
        <v>Non trouvé</v>
      </c>
      <c r="K437" t="str">
        <f t="shared" si="61"/>
        <v>Mismatch</v>
      </c>
    </row>
    <row r="438" spans="1:11" x14ac:dyDescent="0.3">
      <c r="A438" t="s">
        <v>1147</v>
      </c>
      <c r="B438" s="1">
        <v>45209.239583333343</v>
      </c>
      <c r="C438" t="s">
        <v>1149</v>
      </c>
      <c r="D438">
        <v>42</v>
      </c>
      <c r="E438" t="s">
        <v>797</v>
      </c>
      <c r="F438" s="4" t="str">
        <f t="shared" si="66"/>
        <v>Haut-Lomami</v>
      </c>
      <c r="G438" s="4" t="str">
        <f>IFERROR(VLOOKUP(C438,'Registre maintenance'!B:F,2,FALSE),"Non trouvé")</f>
        <v>Non trouvé</v>
      </c>
      <c r="H438" t="str">
        <f>IFERROR(VLOOKUP(C438,'Registre maintenance'!B:F,3,FALSE),"Non trouvé")</f>
        <v>Non trouvé</v>
      </c>
      <c r="I438" t="str">
        <f>IFERROR(VLOOKUP(C438,'Registre maintenance'!B:F,4,FALSE),"Non trouvé")</f>
        <v>Non trouvé</v>
      </c>
      <c r="J438" t="str">
        <f>IFERROR(VLOOKUP(C438,'Registre maintenance'!B:F,5,FALSE),"Non trouvé")</f>
        <v>Non trouvé</v>
      </c>
      <c r="K438" t="str">
        <f t="shared" si="61"/>
        <v>Mismatch</v>
      </c>
    </row>
    <row r="439" spans="1:11" x14ac:dyDescent="0.3">
      <c r="A439" t="s">
        <v>1147</v>
      </c>
      <c r="B439" s="1">
        <v>45222.944444444453</v>
      </c>
      <c r="C439" t="s">
        <v>1006</v>
      </c>
      <c r="D439">
        <v>87</v>
      </c>
      <c r="E439" t="s">
        <v>795</v>
      </c>
      <c r="F439" s="4" t="str">
        <f t="shared" si="66"/>
        <v>Haut-Lomami</v>
      </c>
      <c r="G439" s="4" t="str">
        <f>IFERROR(VLOOKUP(C439,'Registre maintenance'!B:F,2,FALSE),"Non trouvé")</f>
        <v>Non trouvé</v>
      </c>
      <c r="H439" t="str">
        <f>IFERROR(VLOOKUP(C439,'Registre maintenance'!B:F,3,FALSE),"Non trouvé")</f>
        <v>Non trouvé</v>
      </c>
      <c r="I439" t="str">
        <f>IFERROR(VLOOKUP(C439,'Registre maintenance'!B:F,4,FALSE),"Non trouvé")</f>
        <v>Non trouvé</v>
      </c>
      <c r="J439" t="str">
        <f>IFERROR(VLOOKUP(C439,'Registre maintenance'!B:F,5,FALSE),"Non trouvé")</f>
        <v>Non trouvé</v>
      </c>
      <c r="K439" t="str">
        <f t="shared" si="61"/>
        <v>Mismatch</v>
      </c>
    </row>
    <row r="440" spans="1:11" x14ac:dyDescent="0.3">
      <c r="A440" t="s">
        <v>1147</v>
      </c>
      <c r="B440" s="1">
        <v>45205.480555555558</v>
      </c>
      <c r="C440" t="s">
        <v>1150</v>
      </c>
      <c r="D440">
        <v>43</v>
      </c>
      <c r="E440" t="s">
        <v>795</v>
      </c>
      <c r="F440" s="4" t="str">
        <f t="shared" si="66"/>
        <v>Haut-Lomami</v>
      </c>
      <c r="G440" s="4" t="str">
        <f>IFERROR(VLOOKUP(C440,'Registre maintenance'!B:F,2,FALSE),"Non trouvé")</f>
        <v>Non trouvé</v>
      </c>
      <c r="H440" t="str">
        <f>IFERROR(VLOOKUP(C440,'Registre maintenance'!B:F,3,FALSE),"Non trouvé")</f>
        <v>Non trouvé</v>
      </c>
      <c r="I440" t="str">
        <f>IFERROR(VLOOKUP(C440,'Registre maintenance'!B:F,4,FALSE),"Non trouvé")</f>
        <v>Non trouvé</v>
      </c>
      <c r="J440" t="str">
        <f>IFERROR(VLOOKUP(C440,'Registre maintenance'!B:F,5,FALSE),"Non trouvé")</f>
        <v>Non trouvé</v>
      </c>
      <c r="K440" t="str">
        <f t="shared" si="61"/>
        <v>Mismatch</v>
      </c>
    </row>
    <row r="441" spans="1:11" x14ac:dyDescent="0.3">
      <c r="A441" t="s">
        <v>1147</v>
      </c>
      <c r="B441" s="1">
        <v>45207.133333333331</v>
      </c>
      <c r="C441" t="s">
        <v>1151</v>
      </c>
      <c r="D441">
        <v>66</v>
      </c>
      <c r="E441" t="s">
        <v>795</v>
      </c>
      <c r="F441" s="4" t="s">
        <v>56</v>
      </c>
      <c r="G441" s="4" t="str">
        <f>IFERROR(VLOOKUP(C441,'Registre maintenance'!B:F,2,FALSE),"Non trouvé")</f>
        <v>Kasai-Oriental</v>
      </c>
      <c r="H441">
        <f>IFERROR(VLOOKUP(C441,'Registre maintenance'!B:F,3,FALSE),"Non trouvé")</f>
        <v>-5.4073029999999997</v>
      </c>
      <c r="I441">
        <f>IFERROR(VLOOKUP(C441,'Registre maintenance'!B:F,4,FALSE),"Non trouvé")</f>
        <v>29.762294000000001</v>
      </c>
      <c r="J441" t="str">
        <f>IFERROR(VLOOKUP(C441,'Registre maintenance'!B:F,5,FALSE),"Non trouvé")</f>
        <v>3G</v>
      </c>
      <c r="K441" t="str">
        <f t="shared" si="61"/>
        <v>OK</v>
      </c>
    </row>
    <row r="442" spans="1:11" x14ac:dyDescent="0.3">
      <c r="A442" t="s">
        <v>1147</v>
      </c>
      <c r="B442" s="1">
        <v>45225.177083333343</v>
      </c>
      <c r="C442" t="s">
        <v>1152</v>
      </c>
      <c r="D442">
        <v>36</v>
      </c>
      <c r="E442" t="s">
        <v>797</v>
      </c>
      <c r="F442" s="4" t="str">
        <f>F441</f>
        <v>Kasai-Oriental</v>
      </c>
      <c r="G442" s="4" t="str">
        <f>IFERROR(VLOOKUP(C442,'Registre maintenance'!B:F,2,FALSE),"Non trouvé")</f>
        <v>Non trouvé</v>
      </c>
      <c r="H442" t="str">
        <f>IFERROR(VLOOKUP(C442,'Registre maintenance'!B:F,3,FALSE),"Non trouvé")</f>
        <v>Non trouvé</v>
      </c>
      <c r="I442" t="str">
        <f>IFERROR(VLOOKUP(C442,'Registre maintenance'!B:F,4,FALSE),"Non trouvé")</f>
        <v>Non trouvé</v>
      </c>
      <c r="J442" t="str">
        <f>IFERROR(VLOOKUP(C442,'Registre maintenance'!B:F,5,FALSE),"Non trouvé")</f>
        <v>Non trouvé</v>
      </c>
      <c r="K442" t="str">
        <f t="shared" si="61"/>
        <v>Mismatch</v>
      </c>
    </row>
    <row r="443" spans="1:11" x14ac:dyDescent="0.3">
      <c r="A443" t="s">
        <v>1147</v>
      </c>
      <c r="B443" s="1">
        <v>45225.625694444447</v>
      </c>
      <c r="C443" t="s">
        <v>1153</v>
      </c>
      <c r="D443">
        <v>108</v>
      </c>
      <c r="E443" t="s">
        <v>797</v>
      </c>
      <c r="F443" s="4" t="s">
        <v>30</v>
      </c>
      <c r="G443" s="4" t="str">
        <f>IFERROR(VLOOKUP(C443,'Registre maintenance'!B:F,2,FALSE),"Non trouvé")</f>
        <v>Sud-Ubangi</v>
      </c>
      <c r="H443">
        <f>IFERROR(VLOOKUP(C443,'Registre maintenance'!B:F,3,FALSE),"Non trouvé")</f>
        <v>-10.611184</v>
      </c>
      <c r="I443">
        <f>IFERROR(VLOOKUP(C443,'Registre maintenance'!B:F,4,FALSE),"Non trouvé")</f>
        <v>23.022268</v>
      </c>
      <c r="J443" t="str">
        <f>IFERROR(VLOOKUP(C443,'Registre maintenance'!B:F,5,FALSE),"Non trouvé")</f>
        <v>5G</v>
      </c>
      <c r="K443" t="str">
        <f t="shared" si="61"/>
        <v>OK</v>
      </c>
    </row>
    <row r="444" spans="1:11" x14ac:dyDescent="0.3">
      <c r="A444" t="s">
        <v>1147</v>
      </c>
      <c r="B444" s="1">
        <v>45211.73333333333</v>
      </c>
      <c r="C444" t="s">
        <v>1154</v>
      </c>
      <c r="D444">
        <v>108</v>
      </c>
      <c r="E444" t="s">
        <v>795</v>
      </c>
      <c r="F444" s="4" t="str">
        <f>F443</f>
        <v>Sud-Ubangi</v>
      </c>
      <c r="G444" s="4" t="str">
        <f>IFERROR(VLOOKUP(C444,'Registre maintenance'!B:F,2,FALSE),"Non trouvé")</f>
        <v>Non trouvé</v>
      </c>
      <c r="H444" t="str">
        <f>IFERROR(VLOOKUP(C444,'Registre maintenance'!B:F,3,FALSE),"Non trouvé")</f>
        <v>Non trouvé</v>
      </c>
      <c r="I444" t="str">
        <f>IFERROR(VLOOKUP(C444,'Registre maintenance'!B:F,4,FALSE),"Non trouvé")</f>
        <v>Non trouvé</v>
      </c>
      <c r="J444" t="str">
        <f>IFERROR(VLOOKUP(C444,'Registre maintenance'!B:F,5,FALSE),"Non trouvé")</f>
        <v>Non trouvé</v>
      </c>
      <c r="K444" t="str">
        <f t="shared" si="61"/>
        <v>Mismatch</v>
      </c>
    </row>
    <row r="445" spans="1:11" x14ac:dyDescent="0.3">
      <c r="A445" t="s">
        <v>1147</v>
      </c>
      <c r="B445" s="1">
        <v>45211.618750000001</v>
      </c>
      <c r="C445" t="s">
        <v>1155</v>
      </c>
      <c r="D445">
        <v>92</v>
      </c>
      <c r="E445" t="s">
        <v>792</v>
      </c>
      <c r="F445" s="4" t="s">
        <v>72</v>
      </c>
      <c r="G445" s="4" t="str">
        <f>IFERROR(VLOOKUP(C445,'Registre maintenance'!B:F,2,FALSE),"Non trouvé")</f>
        <v>Tshopo</v>
      </c>
      <c r="H445">
        <f>IFERROR(VLOOKUP(C445,'Registre maintenance'!B:F,3,FALSE),"Non trouvé")</f>
        <v>-0.85624699999999998</v>
      </c>
      <c r="I445">
        <f>IFERROR(VLOOKUP(C445,'Registre maintenance'!B:F,4,FALSE),"Non trouvé")</f>
        <v>28.624870000000001</v>
      </c>
      <c r="J445" t="str">
        <f>IFERROR(VLOOKUP(C445,'Registre maintenance'!B:F,5,FALSE),"Non trouvé")</f>
        <v>3G</v>
      </c>
      <c r="K445" t="str">
        <f t="shared" si="61"/>
        <v>OK</v>
      </c>
    </row>
    <row r="446" spans="1:11" x14ac:dyDescent="0.3">
      <c r="A446" t="s">
        <v>1147</v>
      </c>
      <c r="B446" s="1">
        <v>45217.193749999999</v>
      </c>
      <c r="C446" t="s">
        <v>1100</v>
      </c>
      <c r="D446">
        <v>56</v>
      </c>
      <c r="E446" t="s">
        <v>792</v>
      </c>
      <c r="F446" s="4" t="str">
        <f t="shared" ref="F446:F447" si="67">F445</f>
        <v>Tshopo</v>
      </c>
      <c r="G446" s="4" t="str">
        <f>IFERROR(VLOOKUP(C446,'Registre maintenance'!B:F,2,FALSE),"Non trouvé")</f>
        <v>Non trouvé</v>
      </c>
      <c r="H446" t="str">
        <f>IFERROR(VLOOKUP(C446,'Registre maintenance'!B:F,3,FALSE),"Non trouvé")</f>
        <v>Non trouvé</v>
      </c>
      <c r="I446" t="str">
        <f>IFERROR(VLOOKUP(C446,'Registre maintenance'!B:F,4,FALSE),"Non trouvé")</f>
        <v>Non trouvé</v>
      </c>
      <c r="J446" t="str">
        <f>IFERROR(VLOOKUP(C446,'Registre maintenance'!B:F,5,FALSE),"Non trouvé")</f>
        <v>Non trouvé</v>
      </c>
      <c r="K446" t="str">
        <f t="shared" si="61"/>
        <v>Mismatch</v>
      </c>
    </row>
    <row r="447" spans="1:11" x14ac:dyDescent="0.3">
      <c r="A447" t="s">
        <v>1147</v>
      </c>
      <c r="B447" s="1">
        <v>45228.086111111108</v>
      </c>
      <c r="C447" t="s">
        <v>1156</v>
      </c>
      <c r="D447">
        <v>43</v>
      </c>
      <c r="E447" t="s">
        <v>797</v>
      </c>
      <c r="F447" s="4" t="str">
        <f t="shared" si="67"/>
        <v>Tshopo</v>
      </c>
      <c r="G447" s="4" t="str">
        <f>IFERROR(VLOOKUP(C447,'Registre maintenance'!B:F,2,FALSE),"Non trouvé")</f>
        <v>Non trouvé</v>
      </c>
      <c r="H447" t="str">
        <f>IFERROR(VLOOKUP(C447,'Registre maintenance'!B:F,3,FALSE),"Non trouvé")</f>
        <v>Non trouvé</v>
      </c>
      <c r="I447" t="str">
        <f>IFERROR(VLOOKUP(C447,'Registre maintenance'!B:F,4,FALSE),"Non trouvé")</f>
        <v>Non trouvé</v>
      </c>
      <c r="J447" t="str">
        <f>IFERROR(VLOOKUP(C447,'Registre maintenance'!B:F,5,FALSE),"Non trouvé")</f>
        <v>Non trouvé</v>
      </c>
      <c r="K447" t="str">
        <f t="shared" si="61"/>
        <v>Mismatch</v>
      </c>
    </row>
    <row r="448" spans="1:11" x14ac:dyDescent="0.3">
      <c r="A448" t="s">
        <v>1147</v>
      </c>
      <c r="B448" s="1">
        <v>45209.53125</v>
      </c>
      <c r="C448" t="s">
        <v>1157</v>
      </c>
      <c r="D448">
        <v>63</v>
      </c>
      <c r="E448" t="s">
        <v>792</v>
      </c>
      <c r="F448" s="4" t="s">
        <v>77</v>
      </c>
      <c r="G448" s="4" t="str">
        <f>IFERROR(VLOOKUP(C448,'Registre maintenance'!B:F,2,FALSE),"Non trouvé")</f>
        <v>Maniema</v>
      </c>
      <c r="H448">
        <f>IFERROR(VLOOKUP(C448,'Registre maintenance'!B:F,3,FALSE),"Non trouvé")</f>
        <v>1.727095</v>
      </c>
      <c r="I448">
        <f>IFERROR(VLOOKUP(C448,'Registre maintenance'!B:F,4,FALSE),"Non trouvé")</f>
        <v>22.099651999999999</v>
      </c>
      <c r="J448" t="str">
        <f>IFERROR(VLOOKUP(C448,'Registre maintenance'!B:F,5,FALSE),"Non trouvé")</f>
        <v>4G</v>
      </c>
      <c r="K448" t="str">
        <f t="shared" si="61"/>
        <v>OK</v>
      </c>
    </row>
    <row r="449" spans="1:11" x14ac:dyDescent="0.3">
      <c r="A449" t="s">
        <v>1147</v>
      </c>
      <c r="B449" s="1">
        <v>45223.647916666669</v>
      </c>
      <c r="C449" t="s">
        <v>1158</v>
      </c>
      <c r="D449">
        <v>14</v>
      </c>
      <c r="E449" t="s">
        <v>797</v>
      </c>
      <c r="F449" s="4" t="str">
        <f t="shared" ref="F449:F450" si="68">F448</f>
        <v>Maniema</v>
      </c>
      <c r="G449" s="4" t="str">
        <f>IFERROR(VLOOKUP(C449,'Registre maintenance'!B:F,2,FALSE),"Non trouvé")</f>
        <v>Non trouvé</v>
      </c>
      <c r="H449" t="str">
        <f>IFERROR(VLOOKUP(C449,'Registre maintenance'!B:F,3,FALSE),"Non trouvé")</f>
        <v>Non trouvé</v>
      </c>
      <c r="I449" t="str">
        <f>IFERROR(VLOOKUP(C449,'Registre maintenance'!B:F,4,FALSE),"Non trouvé")</f>
        <v>Non trouvé</v>
      </c>
      <c r="J449" t="str">
        <f>IFERROR(VLOOKUP(C449,'Registre maintenance'!B:F,5,FALSE),"Non trouvé")</f>
        <v>Non trouvé</v>
      </c>
      <c r="K449" t="str">
        <f t="shared" si="61"/>
        <v>Mismatch</v>
      </c>
    </row>
    <row r="450" spans="1:11" x14ac:dyDescent="0.3">
      <c r="A450" t="s">
        <v>1147</v>
      </c>
      <c r="B450" s="1">
        <v>45213.577777777777</v>
      </c>
      <c r="C450" t="s">
        <v>1159</v>
      </c>
      <c r="D450">
        <v>93</v>
      </c>
      <c r="E450" t="s">
        <v>795</v>
      </c>
      <c r="F450" s="4" t="str">
        <f t="shared" si="68"/>
        <v>Maniema</v>
      </c>
      <c r="G450" s="4" t="str">
        <f>IFERROR(VLOOKUP(C450,'Registre maintenance'!B:F,2,FALSE),"Non trouvé")</f>
        <v>Non trouvé</v>
      </c>
      <c r="H450" t="str">
        <f>IFERROR(VLOOKUP(C450,'Registre maintenance'!B:F,3,FALSE),"Non trouvé")</f>
        <v>Non trouvé</v>
      </c>
      <c r="I450" t="str">
        <f>IFERROR(VLOOKUP(C450,'Registre maintenance'!B:F,4,FALSE),"Non trouvé")</f>
        <v>Non trouvé</v>
      </c>
      <c r="J450" t="str">
        <f>IFERROR(VLOOKUP(C450,'Registre maintenance'!B:F,5,FALSE),"Non trouvé")</f>
        <v>Non trouvé</v>
      </c>
      <c r="K450" t="str">
        <f t="shared" ref="K450:K513" si="69">IF(F450=G450,"OK","Mismatch")</f>
        <v>Mismatch</v>
      </c>
    </row>
    <row r="451" spans="1:11" x14ac:dyDescent="0.3">
      <c r="A451" t="s">
        <v>1147</v>
      </c>
      <c r="B451" s="1">
        <v>45218.088888888888</v>
      </c>
      <c r="C451" t="s">
        <v>1137</v>
      </c>
      <c r="D451">
        <v>12</v>
      </c>
      <c r="E451" t="s">
        <v>797</v>
      </c>
      <c r="F451" s="4" t="s">
        <v>63</v>
      </c>
      <c r="G451" s="4" t="str">
        <f>IFERROR(VLOOKUP(C451,'Registre maintenance'!B:F,2,FALSE),"Non trouvé")</f>
        <v>Kinshasa</v>
      </c>
      <c r="H451">
        <f>IFERROR(VLOOKUP(C451,'Registre maintenance'!B:F,3,FALSE),"Non trouvé")</f>
        <v>-11.389362</v>
      </c>
      <c r="I451">
        <f>IFERROR(VLOOKUP(C451,'Registre maintenance'!B:F,4,FALSE),"Non trouvé")</f>
        <v>22.240174</v>
      </c>
      <c r="J451" t="str">
        <f>IFERROR(VLOOKUP(C451,'Registre maintenance'!B:F,5,FALSE),"Non trouvé")</f>
        <v>5G</v>
      </c>
      <c r="K451" t="str">
        <f t="shared" si="69"/>
        <v>OK</v>
      </c>
    </row>
    <row r="452" spans="1:11" x14ac:dyDescent="0.3">
      <c r="A452" t="s">
        <v>1147</v>
      </c>
      <c r="B452" s="1">
        <v>45210.836111111108</v>
      </c>
      <c r="C452" t="s">
        <v>1160</v>
      </c>
      <c r="D452">
        <v>25</v>
      </c>
      <c r="E452" t="s">
        <v>797</v>
      </c>
      <c r="F452" s="4" t="str">
        <f t="shared" ref="F452:F453" si="70">F451</f>
        <v>Kinshasa</v>
      </c>
      <c r="G452" s="4" t="str">
        <f>IFERROR(VLOOKUP(C452,'Registre maintenance'!B:F,2,FALSE),"Non trouvé")</f>
        <v>Non trouvé</v>
      </c>
      <c r="H452" t="str">
        <f>IFERROR(VLOOKUP(C452,'Registre maintenance'!B:F,3,FALSE),"Non trouvé")</f>
        <v>Non trouvé</v>
      </c>
      <c r="I452" t="str">
        <f>IFERROR(VLOOKUP(C452,'Registre maintenance'!B:F,4,FALSE),"Non trouvé")</f>
        <v>Non trouvé</v>
      </c>
      <c r="J452" t="str">
        <f>IFERROR(VLOOKUP(C452,'Registre maintenance'!B:F,5,FALSE),"Non trouvé")</f>
        <v>Non trouvé</v>
      </c>
      <c r="K452" t="str">
        <f t="shared" si="69"/>
        <v>Mismatch</v>
      </c>
    </row>
    <row r="453" spans="1:11" x14ac:dyDescent="0.3">
      <c r="A453" t="s">
        <v>1147</v>
      </c>
      <c r="B453" s="1">
        <v>45214.613194444442</v>
      </c>
      <c r="C453" t="s">
        <v>1161</v>
      </c>
      <c r="D453">
        <v>61</v>
      </c>
      <c r="E453" t="s">
        <v>797</v>
      </c>
      <c r="F453" s="4" t="str">
        <f t="shared" si="70"/>
        <v>Kinshasa</v>
      </c>
      <c r="G453" s="4" t="str">
        <f>IFERROR(VLOOKUP(C453,'Registre maintenance'!B:F,2,FALSE),"Non trouvé")</f>
        <v>Non trouvé</v>
      </c>
      <c r="H453" t="str">
        <f>IFERROR(VLOOKUP(C453,'Registre maintenance'!B:F,3,FALSE),"Non trouvé")</f>
        <v>Non trouvé</v>
      </c>
      <c r="I453" t="str">
        <f>IFERROR(VLOOKUP(C453,'Registre maintenance'!B:F,4,FALSE),"Non trouvé")</f>
        <v>Non trouvé</v>
      </c>
      <c r="J453" t="str">
        <f>IFERROR(VLOOKUP(C453,'Registre maintenance'!B:F,5,FALSE),"Non trouvé")</f>
        <v>Non trouvé</v>
      </c>
      <c r="K453" t="str">
        <f t="shared" si="69"/>
        <v>Mismatch</v>
      </c>
    </row>
    <row r="454" spans="1:11" x14ac:dyDescent="0.3">
      <c r="A454" t="s">
        <v>1147</v>
      </c>
      <c r="B454" s="1">
        <v>45216.463888888888</v>
      </c>
      <c r="C454" t="s">
        <v>1112</v>
      </c>
      <c r="D454">
        <v>58</v>
      </c>
      <c r="E454" t="s">
        <v>792</v>
      </c>
      <c r="F454" s="4" t="s">
        <v>17</v>
      </c>
      <c r="G454" s="4" t="str">
        <f>IFERROR(VLOOKUP(C454,'Registre maintenance'!B:F,2,FALSE),"Non trouvé")</f>
        <v>Haut-Lomami</v>
      </c>
      <c r="H454">
        <f>IFERROR(VLOOKUP(C454,'Registre maintenance'!B:F,3,FALSE),"Non trouvé")</f>
        <v>-7.1785899999999998</v>
      </c>
      <c r="I454">
        <f>IFERROR(VLOOKUP(C454,'Registre maintenance'!B:F,4,FALSE),"Non trouvé")</f>
        <v>24.4404</v>
      </c>
      <c r="J454" t="str">
        <f>IFERROR(VLOOKUP(C454,'Registre maintenance'!B:F,5,FALSE),"Non trouvé")</f>
        <v>4G</v>
      </c>
      <c r="K454" t="str">
        <f t="shared" si="69"/>
        <v>OK</v>
      </c>
    </row>
    <row r="455" spans="1:11" x14ac:dyDescent="0.3">
      <c r="A455" t="s">
        <v>1147</v>
      </c>
      <c r="B455" s="1">
        <v>45228.736111111109</v>
      </c>
      <c r="C455" t="s">
        <v>1162</v>
      </c>
      <c r="D455">
        <v>66</v>
      </c>
      <c r="E455" t="s">
        <v>797</v>
      </c>
      <c r="F455" s="4" t="s">
        <v>56</v>
      </c>
      <c r="G455" s="4" t="str">
        <f>IFERROR(VLOOKUP(C455,'Registre maintenance'!B:F,2,FALSE),"Non trouvé")</f>
        <v>Kasai-Oriental</v>
      </c>
      <c r="H455">
        <f>IFERROR(VLOOKUP(C455,'Registre maintenance'!B:F,3,FALSE),"Non trouvé")</f>
        <v>-4.4831099999999999</v>
      </c>
      <c r="I455">
        <f>IFERROR(VLOOKUP(C455,'Registre maintenance'!B:F,4,FALSE),"Non trouvé")</f>
        <v>25.406548000000001</v>
      </c>
      <c r="J455" t="str">
        <f>IFERROR(VLOOKUP(C455,'Registre maintenance'!B:F,5,FALSE),"Non trouvé")</f>
        <v>5G</v>
      </c>
      <c r="K455" t="str">
        <f t="shared" si="69"/>
        <v>OK</v>
      </c>
    </row>
    <row r="456" spans="1:11" x14ac:dyDescent="0.3">
      <c r="A456" t="s">
        <v>1147</v>
      </c>
      <c r="B456" s="1">
        <v>45218.242361111108</v>
      </c>
      <c r="C456" t="s">
        <v>1000</v>
      </c>
      <c r="D456">
        <v>64</v>
      </c>
      <c r="E456" t="s">
        <v>792</v>
      </c>
      <c r="F456" s="4" t="str">
        <f t="shared" ref="F456:F459" si="71">F455</f>
        <v>Kasai-Oriental</v>
      </c>
      <c r="G456" s="4" t="str">
        <f>IFERROR(VLOOKUP(C456,'Registre maintenance'!B:F,2,FALSE),"Non trouvé")</f>
        <v>Non trouvé</v>
      </c>
      <c r="H456" t="str">
        <f>IFERROR(VLOOKUP(C456,'Registre maintenance'!B:F,3,FALSE),"Non trouvé")</f>
        <v>Non trouvé</v>
      </c>
      <c r="I456" t="str">
        <f>IFERROR(VLOOKUP(C456,'Registre maintenance'!B:F,4,FALSE),"Non trouvé")</f>
        <v>Non trouvé</v>
      </c>
      <c r="J456" t="str">
        <f>IFERROR(VLOOKUP(C456,'Registre maintenance'!B:F,5,FALSE),"Non trouvé")</f>
        <v>Non trouvé</v>
      </c>
      <c r="K456" t="str">
        <f t="shared" si="69"/>
        <v>Mismatch</v>
      </c>
    </row>
    <row r="457" spans="1:11" x14ac:dyDescent="0.3">
      <c r="A457" t="s">
        <v>1147</v>
      </c>
      <c r="B457" s="1">
        <v>45230.185416666667</v>
      </c>
      <c r="C457" t="s">
        <v>1163</v>
      </c>
      <c r="D457">
        <v>31</v>
      </c>
      <c r="E457" t="s">
        <v>795</v>
      </c>
      <c r="F457" s="4" t="str">
        <f t="shared" si="71"/>
        <v>Kasai-Oriental</v>
      </c>
      <c r="G457" s="4" t="str">
        <f>IFERROR(VLOOKUP(C457,'Registre maintenance'!B:F,2,FALSE),"Non trouvé")</f>
        <v>Non trouvé</v>
      </c>
      <c r="H457" t="str">
        <f>IFERROR(VLOOKUP(C457,'Registre maintenance'!B:F,3,FALSE),"Non trouvé")</f>
        <v>Non trouvé</v>
      </c>
      <c r="I457" t="str">
        <f>IFERROR(VLOOKUP(C457,'Registre maintenance'!B:F,4,FALSE),"Non trouvé")</f>
        <v>Non trouvé</v>
      </c>
      <c r="J457" t="str">
        <f>IFERROR(VLOOKUP(C457,'Registre maintenance'!B:F,5,FALSE),"Non trouvé")</f>
        <v>Non trouvé</v>
      </c>
      <c r="K457" t="str">
        <f t="shared" si="69"/>
        <v>Mismatch</v>
      </c>
    </row>
    <row r="458" spans="1:11" x14ac:dyDescent="0.3">
      <c r="A458" t="s">
        <v>1147</v>
      </c>
      <c r="B458" s="1">
        <v>45216.078472222223</v>
      </c>
      <c r="C458" t="s">
        <v>1164</v>
      </c>
      <c r="D458">
        <v>48</v>
      </c>
      <c r="E458" t="s">
        <v>795</v>
      </c>
      <c r="F458" s="4" t="str">
        <f t="shared" si="71"/>
        <v>Kasai-Oriental</v>
      </c>
      <c r="G458" s="4" t="str">
        <f>IFERROR(VLOOKUP(C458,'Registre maintenance'!B:F,2,FALSE),"Non trouvé")</f>
        <v>Non trouvé</v>
      </c>
      <c r="H458" t="str">
        <f>IFERROR(VLOOKUP(C458,'Registre maintenance'!B:F,3,FALSE),"Non trouvé")</f>
        <v>Non trouvé</v>
      </c>
      <c r="I458" t="str">
        <f>IFERROR(VLOOKUP(C458,'Registre maintenance'!B:F,4,FALSE),"Non trouvé")</f>
        <v>Non trouvé</v>
      </c>
      <c r="J458" t="str">
        <f>IFERROR(VLOOKUP(C458,'Registre maintenance'!B:F,5,FALSE),"Non trouvé")</f>
        <v>Non trouvé</v>
      </c>
      <c r="K458" t="str">
        <f t="shared" si="69"/>
        <v>Mismatch</v>
      </c>
    </row>
    <row r="459" spans="1:11" x14ac:dyDescent="0.3">
      <c r="A459" t="s">
        <v>1147</v>
      </c>
      <c r="B459" s="1">
        <v>45203.67291666667</v>
      </c>
      <c r="C459" t="s">
        <v>1165</v>
      </c>
      <c r="D459">
        <v>82</v>
      </c>
      <c r="E459" t="s">
        <v>792</v>
      </c>
      <c r="F459" s="4" t="str">
        <f t="shared" si="71"/>
        <v>Kasai-Oriental</v>
      </c>
      <c r="G459" s="4" t="str">
        <f>IFERROR(VLOOKUP(C459,'Registre maintenance'!B:F,2,FALSE),"Non trouvé")</f>
        <v>Non trouvé</v>
      </c>
      <c r="H459" t="str">
        <f>IFERROR(VLOOKUP(C459,'Registre maintenance'!B:F,3,FALSE),"Non trouvé")</f>
        <v>Non trouvé</v>
      </c>
      <c r="I459" t="str">
        <f>IFERROR(VLOOKUP(C459,'Registre maintenance'!B:F,4,FALSE),"Non trouvé")</f>
        <v>Non trouvé</v>
      </c>
      <c r="J459" t="str">
        <f>IFERROR(VLOOKUP(C459,'Registre maintenance'!B:F,5,FALSE),"Non trouvé")</f>
        <v>Non trouvé</v>
      </c>
      <c r="K459" t="str">
        <f t="shared" si="69"/>
        <v>Mismatch</v>
      </c>
    </row>
    <row r="460" spans="1:11" x14ac:dyDescent="0.3">
      <c r="A460" t="s">
        <v>1147</v>
      </c>
      <c r="B460" s="1">
        <v>45209.215277777781</v>
      </c>
      <c r="C460" t="s">
        <v>1137</v>
      </c>
      <c r="D460">
        <v>23</v>
      </c>
      <c r="E460" t="s">
        <v>797</v>
      </c>
      <c r="F460" s="4" t="s">
        <v>63</v>
      </c>
      <c r="G460" s="4" t="str">
        <f>IFERROR(VLOOKUP(C460,'Registre maintenance'!B:F,2,FALSE),"Non trouvé")</f>
        <v>Kinshasa</v>
      </c>
      <c r="H460">
        <f>IFERROR(VLOOKUP(C460,'Registre maintenance'!B:F,3,FALSE),"Non trouvé")</f>
        <v>-11.389362</v>
      </c>
      <c r="I460">
        <f>IFERROR(VLOOKUP(C460,'Registre maintenance'!B:F,4,FALSE),"Non trouvé")</f>
        <v>22.240174</v>
      </c>
      <c r="J460" t="str">
        <f>IFERROR(VLOOKUP(C460,'Registre maintenance'!B:F,5,FALSE),"Non trouvé")</f>
        <v>5G</v>
      </c>
      <c r="K460" t="str">
        <f t="shared" si="69"/>
        <v>OK</v>
      </c>
    </row>
    <row r="461" spans="1:11" x14ac:dyDescent="0.3">
      <c r="A461" t="s">
        <v>1147</v>
      </c>
      <c r="B461" s="1">
        <v>45210.926388888889</v>
      </c>
      <c r="C461" t="s">
        <v>983</v>
      </c>
      <c r="D461">
        <v>45</v>
      </c>
      <c r="E461" t="s">
        <v>795</v>
      </c>
      <c r="F461" s="4" t="str">
        <f t="shared" ref="F461:F468" si="72">F460</f>
        <v>Kinshasa</v>
      </c>
      <c r="G461" s="4" t="str">
        <f>IFERROR(VLOOKUP(C461,'Registre maintenance'!B:F,2,FALSE),"Non trouvé")</f>
        <v>Non trouvé</v>
      </c>
      <c r="H461" t="str">
        <f>IFERROR(VLOOKUP(C461,'Registre maintenance'!B:F,3,FALSE),"Non trouvé")</f>
        <v>Non trouvé</v>
      </c>
      <c r="I461" t="str">
        <f>IFERROR(VLOOKUP(C461,'Registre maintenance'!B:F,4,FALSE),"Non trouvé")</f>
        <v>Non trouvé</v>
      </c>
      <c r="J461" t="str">
        <f>IFERROR(VLOOKUP(C461,'Registre maintenance'!B:F,5,FALSE),"Non trouvé")</f>
        <v>Non trouvé</v>
      </c>
      <c r="K461" t="str">
        <f t="shared" si="69"/>
        <v>Mismatch</v>
      </c>
    </row>
    <row r="462" spans="1:11" x14ac:dyDescent="0.3">
      <c r="A462" t="s">
        <v>1147</v>
      </c>
      <c r="B462" s="1">
        <v>45211.706250000003</v>
      </c>
      <c r="C462" t="s">
        <v>1166</v>
      </c>
      <c r="D462">
        <v>115</v>
      </c>
      <c r="E462" t="s">
        <v>797</v>
      </c>
      <c r="F462" s="4" t="str">
        <f t="shared" si="72"/>
        <v>Kinshasa</v>
      </c>
      <c r="G462" s="4" t="str">
        <f>IFERROR(VLOOKUP(C462,'Registre maintenance'!B:F,2,FALSE),"Non trouvé")</f>
        <v>Non trouvé</v>
      </c>
      <c r="H462" t="str">
        <f>IFERROR(VLOOKUP(C462,'Registre maintenance'!B:F,3,FALSE),"Non trouvé")</f>
        <v>Non trouvé</v>
      </c>
      <c r="I462" t="str">
        <f>IFERROR(VLOOKUP(C462,'Registre maintenance'!B:F,4,FALSE),"Non trouvé")</f>
        <v>Non trouvé</v>
      </c>
      <c r="J462" t="str">
        <f>IFERROR(VLOOKUP(C462,'Registre maintenance'!B:F,5,FALSE),"Non trouvé")</f>
        <v>Non trouvé</v>
      </c>
      <c r="K462" t="str">
        <f t="shared" si="69"/>
        <v>Mismatch</v>
      </c>
    </row>
    <row r="463" spans="1:11" x14ac:dyDescent="0.3">
      <c r="A463" t="s">
        <v>1147</v>
      </c>
      <c r="B463" s="1">
        <v>45209.094444444447</v>
      </c>
      <c r="C463" t="s">
        <v>1167</v>
      </c>
      <c r="D463">
        <v>96</v>
      </c>
      <c r="E463" t="s">
        <v>792</v>
      </c>
      <c r="F463" s="4" t="str">
        <f t="shared" si="72"/>
        <v>Kinshasa</v>
      </c>
      <c r="G463" s="4" t="str">
        <f>IFERROR(VLOOKUP(C463,'Registre maintenance'!B:F,2,FALSE),"Non trouvé")</f>
        <v>Non trouvé</v>
      </c>
      <c r="H463" t="str">
        <f>IFERROR(VLOOKUP(C463,'Registre maintenance'!B:F,3,FALSE),"Non trouvé")</f>
        <v>Non trouvé</v>
      </c>
      <c r="I463" t="str">
        <f>IFERROR(VLOOKUP(C463,'Registre maintenance'!B:F,4,FALSE),"Non trouvé")</f>
        <v>Non trouvé</v>
      </c>
      <c r="J463" t="str">
        <f>IFERROR(VLOOKUP(C463,'Registre maintenance'!B:F,5,FALSE),"Non trouvé")</f>
        <v>Non trouvé</v>
      </c>
      <c r="K463" t="str">
        <f t="shared" si="69"/>
        <v>Mismatch</v>
      </c>
    </row>
    <row r="464" spans="1:11" x14ac:dyDescent="0.3">
      <c r="A464" t="s">
        <v>1147</v>
      </c>
      <c r="B464" s="1">
        <v>45206.857638888891</v>
      </c>
      <c r="C464" t="s">
        <v>983</v>
      </c>
      <c r="D464">
        <v>45</v>
      </c>
      <c r="E464" t="s">
        <v>797</v>
      </c>
      <c r="F464" s="4" t="str">
        <f t="shared" si="72"/>
        <v>Kinshasa</v>
      </c>
      <c r="G464" s="4" t="str">
        <f>IFERROR(VLOOKUP(C464,'Registre maintenance'!B:F,2,FALSE),"Non trouvé")</f>
        <v>Non trouvé</v>
      </c>
      <c r="H464" t="str">
        <f>IFERROR(VLOOKUP(C464,'Registre maintenance'!B:F,3,FALSE),"Non trouvé")</f>
        <v>Non trouvé</v>
      </c>
      <c r="I464" t="str">
        <f>IFERROR(VLOOKUP(C464,'Registre maintenance'!B:F,4,FALSE),"Non trouvé")</f>
        <v>Non trouvé</v>
      </c>
      <c r="J464" t="str">
        <f>IFERROR(VLOOKUP(C464,'Registre maintenance'!B:F,5,FALSE),"Non trouvé")</f>
        <v>Non trouvé</v>
      </c>
      <c r="K464" t="str">
        <f t="shared" si="69"/>
        <v>Mismatch</v>
      </c>
    </row>
    <row r="465" spans="1:11" x14ac:dyDescent="0.3">
      <c r="A465" t="s">
        <v>1147</v>
      </c>
      <c r="B465" s="1">
        <v>45208.194444444453</v>
      </c>
      <c r="C465" t="s">
        <v>1168</v>
      </c>
      <c r="D465">
        <v>98</v>
      </c>
      <c r="E465" t="s">
        <v>795</v>
      </c>
      <c r="F465" s="4" t="str">
        <f t="shared" si="72"/>
        <v>Kinshasa</v>
      </c>
      <c r="G465" s="4" t="str">
        <f>IFERROR(VLOOKUP(C465,'Registre maintenance'!B:F,2,FALSE),"Non trouvé")</f>
        <v>Non trouvé</v>
      </c>
      <c r="H465" t="str">
        <f>IFERROR(VLOOKUP(C465,'Registre maintenance'!B:F,3,FALSE),"Non trouvé")</f>
        <v>Non trouvé</v>
      </c>
      <c r="I465" t="str">
        <f>IFERROR(VLOOKUP(C465,'Registre maintenance'!B:F,4,FALSE),"Non trouvé")</f>
        <v>Non trouvé</v>
      </c>
      <c r="J465" t="str">
        <f>IFERROR(VLOOKUP(C465,'Registre maintenance'!B:F,5,FALSE),"Non trouvé")</f>
        <v>Non trouvé</v>
      </c>
      <c r="K465" t="str">
        <f t="shared" si="69"/>
        <v>Mismatch</v>
      </c>
    </row>
    <row r="466" spans="1:11" x14ac:dyDescent="0.3">
      <c r="A466" t="s">
        <v>1147</v>
      </c>
      <c r="B466" s="1">
        <v>45209.81527777778</v>
      </c>
      <c r="C466" t="s">
        <v>882</v>
      </c>
      <c r="D466">
        <v>115</v>
      </c>
      <c r="E466" t="s">
        <v>797</v>
      </c>
      <c r="F466" s="4" t="str">
        <f t="shared" si="72"/>
        <v>Kinshasa</v>
      </c>
      <c r="G466" s="4" t="str">
        <f>IFERROR(VLOOKUP(C466,'Registre maintenance'!B:F,2,FALSE),"Non trouvé")</f>
        <v>Non trouvé</v>
      </c>
      <c r="H466" t="str">
        <f>IFERROR(VLOOKUP(C466,'Registre maintenance'!B:F,3,FALSE),"Non trouvé")</f>
        <v>Non trouvé</v>
      </c>
      <c r="I466" t="str">
        <f>IFERROR(VLOOKUP(C466,'Registre maintenance'!B:F,4,FALSE),"Non trouvé")</f>
        <v>Non trouvé</v>
      </c>
      <c r="J466" t="str">
        <f>IFERROR(VLOOKUP(C466,'Registre maintenance'!B:F,5,FALSE),"Non trouvé")</f>
        <v>Non trouvé</v>
      </c>
      <c r="K466" t="str">
        <f t="shared" si="69"/>
        <v>Mismatch</v>
      </c>
    </row>
    <row r="467" spans="1:11" x14ac:dyDescent="0.3">
      <c r="A467" t="s">
        <v>1147</v>
      </c>
      <c r="B467" s="1">
        <v>45202.695138888892</v>
      </c>
      <c r="C467" t="s">
        <v>1169</v>
      </c>
      <c r="D467">
        <v>49</v>
      </c>
      <c r="E467" t="s">
        <v>795</v>
      </c>
      <c r="F467" s="4" t="str">
        <f t="shared" si="72"/>
        <v>Kinshasa</v>
      </c>
      <c r="G467" s="4" t="str">
        <f>IFERROR(VLOOKUP(C467,'Registre maintenance'!B:F,2,FALSE),"Non trouvé")</f>
        <v>Non trouvé</v>
      </c>
      <c r="H467" t="str">
        <f>IFERROR(VLOOKUP(C467,'Registre maintenance'!B:F,3,FALSE),"Non trouvé")</f>
        <v>Non trouvé</v>
      </c>
      <c r="I467" t="str">
        <f>IFERROR(VLOOKUP(C467,'Registre maintenance'!B:F,4,FALSE),"Non trouvé")</f>
        <v>Non trouvé</v>
      </c>
      <c r="J467" t="str">
        <f>IFERROR(VLOOKUP(C467,'Registre maintenance'!B:F,5,FALSE),"Non trouvé")</f>
        <v>Non trouvé</v>
      </c>
      <c r="K467" t="str">
        <f t="shared" si="69"/>
        <v>Mismatch</v>
      </c>
    </row>
    <row r="468" spans="1:11" x14ac:dyDescent="0.3">
      <c r="A468" t="s">
        <v>1147</v>
      </c>
      <c r="B468" s="1">
        <v>45205.775694444441</v>
      </c>
      <c r="C468" t="s">
        <v>1170</v>
      </c>
      <c r="D468">
        <v>56</v>
      </c>
      <c r="E468" t="s">
        <v>797</v>
      </c>
      <c r="F468" s="4" t="str">
        <f t="shared" si="72"/>
        <v>Kinshasa</v>
      </c>
      <c r="G468" s="4" t="str">
        <f>IFERROR(VLOOKUP(C468,'Registre maintenance'!B:F,2,FALSE),"Non trouvé")</f>
        <v>Non trouvé</v>
      </c>
      <c r="H468" t="str">
        <f>IFERROR(VLOOKUP(C468,'Registre maintenance'!B:F,3,FALSE),"Non trouvé")</f>
        <v>Non trouvé</v>
      </c>
      <c r="I468" t="str">
        <f>IFERROR(VLOOKUP(C468,'Registre maintenance'!B:F,4,FALSE),"Non trouvé")</f>
        <v>Non trouvé</v>
      </c>
      <c r="J468" t="str">
        <f>IFERROR(VLOOKUP(C468,'Registre maintenance'!B:F,5,FALSE),"Non trouvé")</f>
        <v>Non trouvé</v>
      </c>
      <c r="K468" t="str">
        <f t="shared" si="69"/>
        <v>Mismatch</v>
      </c>
    </row>
    <row r="469" spans="1:11" x14ac:dyDescent="0.3">
      <c r="A469" t="s">
        <v>1147</v>
      </c>
      <c r="B469" s="1">
        <v>45204.237500000003</v>
      </c>
      <c r="C469" t="s">
        <v>1016</v>
      </c>
      <c r="D469">
        <v>21</v>
      </c>
      <c r="E469" t="s">
        <v>795</v>
      </c>
      <c r="F469" s="4" t="s">
        <v>61</v>
      </c>
      <c r="G469" s="4" t="str">
        <f>IFERROR(VLOOKUP(C469,'Registre maintenance'!B:F,2,FALSE),"Non trouvé")</f>
        <v>Kongo-Central</v>
      </c>
      <c r="H469">
        <f>IFERROR(VLOOKUP(C469,'Registre maintenance'!B:F,3,FALSE),"Non trouvé")</f>
        <v>2.975352</v>
      </c>
      <c r="I469">
        <f>IFERROR(VLOOKUP(C469,'Registre maintenance'!B:F,4,FALSE),"Non trouvé")</f>
        <v>22.535886000000001</v>
      </c>
      <c r="J469" t="str">
        <f>IFERROR(VLOOKUP(C469,'Registre maintenance'!B:F,5,FALSE),"Non trouvé")</f>
        <v>4G</v>
      </c>
      <c r="K469" t="str">
        <f t="shared" si="69"/>
        <v>OK</v>
      </c>
    </row>
    <row r="470" spans="1:11" x14ac:dyDescent="0.3">
      <c r="A470" t="s">
        <v>1147</v>
      </c>
      <c r="B470" s="1">
        <v>45219.997916666667</v>
      </c>
      <c r="C470" t="s">
        <v>867</v>
      </c>
      <c r="D470">
        <v>102</v>
      </c>
      <c r="E470" t="s">
        <v>795</v>
      </c>
      <c r="F470" s="4" t="str">
        <f t="shared" ref="F470:F473" si="73">F469</f>
        <v>Kongo-Central</v>
      </c>
      <c r="G470" s="4" t="str">
        <f>IFERROR(VLOOKUP(C470,'Registre maintenance'!B:F,2,FALSE),"Non trouvé")</f>
        <v>Non trouvé</v>
      </c>
      <c r="H470" t="str">
        <f>IFERROR(VLOOKUP(C470,'Registre maintenance'!B:F,3,FALSE),"Non trouvé")</f>
        <v>Non trouvé</v>
      </c>
      <c r="I470" t="str">
        <f>IFERROR(VLOOKUP(C470,'Registre maintenance'!B:F,4,FALSE),"Non trouvé")</f>
        <v>Non trouvé</v>
      </c>
      <c r="J470" t="str">
        <f>IFERROR(VLOOKUP(C470,'Registre maintenance'!B:F,5,FALSE),"Non trouvé")</f>
        <v>Non trouvé</v>
      </c>
      <c r="K470" t="str">
        <f t="shared" si="69"/>
        <v>Mismatch</v>
      </c>
    </row>
    <row r="471" spans="1:11" x14ac:dyDescent="0.3">
      <c r="A471" t="s">
        <v>1147</v>
      </c>
      <c r="B471" s="1">
        <v>45219.453472222223</v>
      </c>
      <c r="C471" t="s">
        <v>1171</v>
      </c>
      <c r="D471">
        <v>52</v>
      </c>
      <c r="E471" t="s">
        <v>795</v>
      </c>
      <c r="F471" s="4" t="str">
        <f t="shared" si="73"/>
        <v>Kongo-Central</v>
      </c>
      <c r="G471" s="4" t="str">
        <f>IFERROR(VLOOKUP(C471,'Registre maintenance'!B:F,2,FALSE),"Non trouvé")</f>
        <v>Non trouvé</v>
      </c>
      <c r="H471" t="str">
        <f>IFERROR(VLOOKUP(C471,'Registre maintenance'!B:F,3,FALSE),"Non trouvé")</f>
        <v>Non trouvé</v>
      </c>
      <c r="I471" t="str">
        <f>IFERROR(VLOOKUP(C471,'Registre maintenance'!B:F,4,FALSE),"Non trouvé")</f>
        <v>Non trouvé</v>
      </c>
      <c r="J471" t="str">
        <f>IFERROR(VLOOKUP(C471,'Registre maintenance'!B:F,5,FALSE),"Non trouvé")</f>
        <v>Non trouvé</v>
      </c>
      <c r="K471" t="str">
        <f t="shared" si="69"/>
        <v>Mismatch</v>
      </c>
    </row>
    <row r="472" spans="1:11" x14ac:dyDescent="0.3">
      <c r="A472" t="s">
        <v>1147</v>
      </c>
      <c r="B472" s="1">
        <v>45229.751388888893</v>
      </c>
      <c r="C472" t="s">
        <v>1172</v>
      </c>
      <c r="D472">
        <v>70</v>
      </c>
      <c r="E472" t="s">
        <v>792</v>
      </c>
      <c r="F472" s="4" t="str">
        <f t="shared" si="73"/>
        <v>Kongo-Central</v>
      </c>
      <c r="G472" s="4" t="str">
        <f>IFERROR(VLOOKUP(C472,'Registre maintenance'!B:F,2,FALSE),"Non trouvé")</f>
        <v>Non trouvé</v>
      </c>
      <c r="H472" t="str">
        <f>IFERROR(VLOOKUP(C472,'Registre maintenance'!B:F,3,FALSE),"Non trouvé")</f>
        <v>Non trouvé</v>
      </c>
      <c r="I472" t="str">
        <f>IFERROR(VLOOKUP(C472,'Registre maintenance'!B:F,4,FALSE),"Non trouvé")</f>
        <v>Non trouvé</v>
      </c>
      <c r="J472" t="str">
        <f>IFERROR(VLOOKUP(C472,'Registre maintenance'!B:F,5,FALSE),"Non trouvé")</f>
        <v>Non trouvé</v>
      </c>
      <c r="K472" t="str">
        <f t="shared" si="69"/>
        <v>Mismatch</v>
      </c>
    </row>
    <row r="473" spans="1:11" x14ac:dyDescent="0.3">
      <c r="A473" t="s">
        <v>1147</v>
      </c>
      <c r="B473" s="1">
        <v>45226.003472222219</v>
      </c>
      <c r="C473" t="s">
        <v>1173</v>
      </c>
      <c r="D473">
        <v>76</v>
      </c>
      <c r="E473" t="s">
        <v>792</v>
      </c>
      <c r="F473" s="4" t="str">
        <f t="shared" si="73"/>
        <v>Kongo-Central</v>
      </c>
      <c r="G473" s="4" t="str">
        <f>IFERROR(VLOOKUP(C473,'Registre maintenance'!B:F,2,FALSE),"Non trouvé")</f>
        <v>Non trouvé</v>
      </c>
      <c r="H473" t="str">
        <f>IFERROR(VLOOKUP(C473,'Registre maintenance'!B:F,3,FALSE),"Non trouvé")</f>
        <v>Non trouvé</v>
      </c>
      <c r="I473" t="str">
        <f>IFERROR(VLOOKUP(C473,'Registre maintenance'!B:F,4,FALSE),"Non trouvé")</f>
        <v>Non trouvé</v>
      </c>
      <c r="J473" t="str">
        <f>IFERROR(VLOOKUP(C473,'Registre maintenance'!B:F,5,FALSE),"Non trouvé")</f>
        <v>Non trouvé</v>
      </c>
      <c r="K473" t="str">
        <f t="shared" si="69"/>
        <v>Mismatch</v>
      </c>
    </row>
    <row r="474" spans="1:11" x14ac:dyDescent="0.3">
      <c r="A474" t="s">
        <v>1147</v>
      </c>
      <c r="B474" s="1">
        <v>45201.867361111108</v>
      </c>
      <c r="C474" t="s">
        <v>1063</v>
      </c>
      <c r="D474">
        <v>18</v>
      </c>
      <c r="E474" t="s">
        <v>792</v>
      </c>
      <c r="F474" s="4" t="s">
        <v>61</v>
      </c>
      <c r="G474" s="4" t="str">
        <f>IFERROR(VLOOKUP(C474,'Registre maintenance'!B:F,2,FALSE),"Non trouvé")</f>
        <v>Kongo-Central</v>
      </c>
      <c r="H474">
        <f>IFERROR(VLOOKUP(C474,'Registre maintenance'!B:F,3,FALSE),"Non trouvé")</f>
        <v>-12.112399999999999</v>
      </c>
      <c r="I474">
        <f>IFERROR(VLOOKUP(C474,'Registre maintenance'!B:F,4,FALSE),"Non trouvé")</f>
        <v>15.872226</v>
      </c>
      <c r="J474" t="str">
        <f>IFERROR(VLOOKUP(C474,'Registre maintenance'!B:F,5,FALSE),"Non trouvé")</f>
        <v>4G</v>
      </c>
      <c r="K474" t="str">
        <f t="shared" si="69"/>
        <v>OK</v>
      </c>
    </row>
    <row r="475" spans="1:11" x14ac:dyDescent="0.3">
      <c r="A475" t="s">
        <v>1147</v>
      </c>
      <c r="B475" s="1">
        <v>45218.361805555563</v>
      </c>
      <c r="C475" t="s">
        <v>836</v>
      </c>
      <c r="D475">
        <v>45</v>
      </c>
      <c r="E475" t="s">
        <v>797</v>
      </c>
      <c r="F475" s="4" t="str">
        <f t="shared" ref="F475:F483" si="74">F474</f>
        <v>Kongo-Central</v>
      </c>
      <c r="G475" s="4" t="str">
        <f>IFERROR(VLOOKUP(C475,'Registre maintenance'!B:F,2,FALSE),"Non trouvé")</f>
        <v>Non trouvé</v>
      </c>
      <c r="H475" t="str">
        <f>IFERROR(VLOOKUP(C475,'Registre maintenance'!B:F,3,FALSE),"Non trouvé")</f>
        <v>Non trouvé</v>
      </c>
      <c r="I475" t="str">
        <f>IFERROR(VLOOKUP(C475,'Registre maintenance'!B:F,4,FALSE),"Non trouvé")</f>
        <v>Non trouvé</v>
      </c>
      <c r="J475" t="str">
        <f>IFERROR(VLOOKUP(C475,'Registre maintenance'!B:F,5,FALSE),"Non trouvé")</f>
        <v>Non trouvé</v>
      </c>
      <c r="K475" t="str">
        <f t="shared" si="69"/>
        <v>Mismatch</v>
      </c>
    </row>
    <row r="476" spans="1:11" x14ac:dyDescent="0.3">
      <c r="A476" t="s">
        <v>1147</v>
      </c>
      <c r="B476" s="1">
        <v>45206.768055555563</v>
      </c>
      <c r="C476" t="s">
        <v>1174</v>
      </c>
      <c r="D476">
        <v>35</v>
      </c>
      <c r="E476" t="s">
        <v>797</v>
      </c>
      <c r="F476" s="4" t="str">
        <f t="shared" si="74"/>
        <v>Kongo-Central</v>
      </c>
      <c r="G476" s="4" t="str">
        <f>IFERROR(VLOOKUP(C476,'Registre maintenance'!B:F,2,FALSE),"Non trouvé")</f>
        <v>Non trouvé</v>
      </c>
      <c r="H476" t="str">
        <f>IFERROR(VLOOKUP(C476,'Registre maintenance'!B:F,3,FALSE),"Non trouvé")</f>
        <v>Non trouvé</v>
      </c>
      <c r="I476" t="str">
        <f>IFERROR(VLOOKUP(C476,'Registre maintenance'!B:F,4,FALSE),"Non trouvé")</f>
        <v>Non trouvé</v>
      </c>
      <c r="J476" t="str">
        <f>IFERROR(VLOOKUP(C476,'Registre maintenance'!B:F,5,FALSE),"Non trouvé")</f>
        <v>Non trouvé</v>
      </c>
      <c r="K476" t="str">
        <f t="shared" si="69"/>
        <v>Mismatch</v>
      </c>
    </row>
    <row r="477" spans="1:11" x14ac:dyDescent="0.3">
      <c r="A477" t="s">
        <v>1147</v>
      </c>
      <c r="B477" s="1">
        <v>45219.834027777782</v>
      </c>
      <c r="C477" t="s">
        <v>1175</v>
      </c>
      <c r="D477">
        <v>64</v>
      </c>
      <c r="E477" t="s">
        <v>797</v>
      </c>
      <c r="F477" s="4" t="str">
        <f t="shared" si="74"/>
        <v>Kongo-Central</v>
      </c>
      <c r="G477" s="4" t="str">
        <f>IFERROR(VLOOKUP(C477,'Registre maintenance'!B:F,2,FALSE),"Non trouvé")</f>
        <v>Non trouvé</v>
      </c>
      <c r="H477" t="str">
        <f>IFERROR(VLOOKUP(C477,'Registre maintenance'!B:F,3,FALSE),"Non trouvé")</f>
        <v>Non trouvé</v>
      </c>
      <c r="I477" t="str">
        <f>IFERROR(VLOOKUP(C477,'Registre maintenance'!B:F,4,FALSE),"Non trouvé")</f>
        <v>Non trouvé</v>
      </c>
      <c r="J477" t="str">
        <f>IFERROR(VLOOKUP(C477,'Registre maintenance'!B:F,5,FALSE),"Non trouvé")</f>
        <v>Non trouvé</v>
      </c>
      <c r="K477" t="str">
        <f t="shared" si="69"/>
        <v>Mismatch</v>
      </c>
    </row>
    <row r="478" spans="1:11" x14ac:dyDescent="0.3">
      <c r="A478" t="s">
        <v>1176</v>
      </c>
      <c r="B478" s="1">
        <v>45201.043055555558</v>
      </c>
      <c r="C478" t="s">
        <v>1150</v>
      </c>
      <c r="D478">
        <v>45</v>
      </c>
      <c r="E478" t="s">
        <v>795</v>
      </c>
      <c r="F478" s="4" t="str">
        <f t="shared" si="74"/>
        <v>Kongo-Central</v>
      </c>
      <c r="G478" s="4" t="str">
        <f>IFERROR(VLOOKUP(C478,'Registre maintenance'!B:F,2,FALSE),"Non trouvé")</f>
        <v>Non trouvé</v>
      </c>
      <c r="H478" t="str">
        <f>IFERROR(VLOOKUP(C478,'Registre maintenance'!B:F,3,FALSE),"Non trouvé")</f>
        <v>Non trouvé</v>
      </c>
      <c r="I478" t="str">
        <f>IFERROR(VLOOKUP(C478,'Registre maintenance'!B:F,4,FALSE),"Non trouvé")</f>
        <v>Non trouvé</v>
      </c>
      <c r="J478" t="str">
        <f>IFERROR(VLOOKUP(C478,'Registre maintenance'!B:F,5,FALSE),"Non trouvé")</f>
        <v>Non trouvé</v>
      </c>
      <c r="K478" t="str">
        <f t="shared" si="69"/>
        <v>Mismatch</v>
      </c>
    </row>
    <row r="479" spans="1:11" x14ac:dyDescent="0.3">
      <c r="A479" t="s">
        <v>1176</v>
      </c>
      <c r="B479" s="1">
        <v>45204.931250000001</v>
      </c>
      <c r="C479" t="s">
        <v>1177</v>
      </c>
      <c r="D479">
        <v>66</v>
      </c>
      <c r="E479" t="s">
        <v>792</v>
      </c>
      <c r="F479" s="4" t="str">
        <f t="shared" si="74"/>
        <v>Kongo-Central</v>
      </c>
      <c r="G479" s="4" t="str">
        <f>IFERROR(VLOOKUP(C479,'Registre maintenance'!B:F,2,FALSE),"Non trouvé")</f>
        <v>Non trouvé</v>
      </c>
      <c r="H479" t="str">
        <f>IFERROR(VLOOKUP(C479,'Registre maintenance'!B:F,3,FALSE),"Non trouvé")</f>
        <v>Non trouvé</v>
      </c>
      <c r="I479" t="str">
        <f>IFERROR(VLOOKUP(C479,'Registre maintenance'!B:F,4,FALSE),"Non trouvé")</f>
        <v>Non trouvé</v>
      </c>
      <c r="J479" t="str">
        <f>IFERROR(VLOOKUP(C479,'Registre maintenance'!B:F,5,FALSE),"Non trouvé")</f>
        <v>Non trouvé</v>
      </c>
      <c r="K479" t="str">
        <f t="shared" si="69"/>
        <v>Mismatch</v>
      </c>
    </row>
    <row r="480" spans="1:11" x14ac:dyDescent="0.3">
      <c r="A480" t="s">
        <v>1176</v>
      </c>
      <c r="B480" s="1">
        <v>45225.647916666669</v>
      </c>
      <c r="C480" t="s">
        <v>1178</v>
      </c>
      <c r="D480">
        <v>49</v>
      </c>
      <c r="E480" t="s">
        <v>792</v>
      </c>
      <c r="F480" s="4" t="str">
        <f t="shared" si="74"/>
        <v>Kongo-Central</v>
      </c>
      <c r="G480" s="4" t="str">
        <f>IFERROR(VLOOKUP(C480,'Registre maintenance'!B:F,2,FALSE),"Non trouvé")</f>
        <v>Non trouvé</v>
      </c>
      <c r="H480" t="str">
        <f>IFERROR(VLOOKUP(C480,'Registre maintenance'!B:F,3,FALSE),"Non trouvé")</f>
        <v>Non trouvé</v>
      </c>
      <c r="I480" t="str">
        <f>IFERROR(VLOOKUP(C480,'Registre maintenance'!B:F,4,FALSE),"Non trouvé")</f>
        <v>Non trouvé</v>
      </c>
      <c r="J480" t="str">
        <f>IFERROR(VLOOKUP(C480,'Registre maintenance'!B:F,5,FALSE),"Non trouvé")</f>
        <v>Non trouvé</v>
      </c>
      <c r="K480" t="str">
        <f t="shared" si="69"/>
        <v>Mismatch</v>
      </c>
    </row>
    <row r="481" spans="1:11" x14ac:dyDescent="0.3">
      <c r="A481" t="s">
        <v>1176</v>
      </c>
      <c r="B481" s="1">
        <v>45214.193055555559</v>
      </c>
      <c r="C481" t="s">
        <v>821</v>
      </c>
      <c r="D481">
        <v>76</v>
      </c>
      <c r="E481" t="s">
        <v>797</v>
      </c>
      <c r="F481" s="4" t="str">
        <f t="shared" si="74"/>
        <v>Kongo-Central</v>
      </c>
      <c r="G481" s="4" t="str">
        <f>IFERROR(VLOOKUP(C481,'Registre maintenance'!B:F,2,FALSE),"Non trouvé")</f>
        <v>Non trouvé</v>
      </c>
      <c r="H481" t="str">
        <f>IFERROR(VLOOKUP(C481,'Registre maintenance'!B:F,3,FALSE),"Non trouvé")</f>
        <v>Non trouvé</v>
      </c>
      <c r="I481" t="str">
        <f>IFERROR(VLOOKUP(C481,'Registre maintenance'!B:F,4,FALSE),"Non trouvé")</f>
        <v>Non trouvé</v>
      </c>
      <c r="J481" t="str">
        <f>IFERROR(VLOOKUP(C481,'Registre maintenance'!B:F,5,FALSE),"Non trouvé")</f>
        <v>Non trouvé</v>
      </c>
      <c r="K481" t="str">
        <f t="shared" si="69"/>
        <v>Mismatch</v>
      </c>
    </row>
    <row r="482" spans="1:11" x14ac:dyDescent="0.3">
      <c r="A482" t="s">
        <v>1176</v>
      </c>
      <c r="B482" s="1">
        <v>45228.672222222223</v>
      </c>
      <c r="C482" t="s">
        <v>1179</v>
      </c>
      <c r="D482">
        <v>106</v>
      </c>
      <c r="E482" t="s">
        <v>792</v>
      </c>
      <c r="F482" s="4" t="str">
        <f t="shared" si="74"/>
        <v>Kongo-Central</v>
      </c>
      <c r="G482" s="4" t="str">
        <f>IFERROR(VLOOKUP(C482,'Registre maintenance'!B:F,2,FALSE),"Non trouvé")</f>
        <v>Non trouvé</v>
      </c>
      <c r="H482" t="str">
        <f>IFERROR(VLOOKUP(C482,'Registre maintenance'!B:F,3,FALSE),"Non trouvé")</f>
        <v>Non trouvé</v>
      </c>
      <c r="I482" t="str">
        <f>IFERROR(VLOOKUP(C482,'Registre maintenance'!B:F,4,FALSE),"Non trouvé")</f>
        <v>Non trouvé</v>
      </c>
      <c r="J482" t="str">
        <f>IFERROR(VLOOKUP(C482,'Registre maintenance'!B:F,5,FALSE),"Non trouvé")</f>
        <v>Non trouvé</v>
      </c>
      <c r="K482" t="str">
        <f t="shared" si="69"/>
        <v>Mismatch</v>
      </c>
    </row>
    <row r="483" spans="1:11" x14ac:dyDescent="0.3">
      <c r="A483" t="s">
        <v>1176</v>
      </c>
      <c r="B483" s="1">
        <v>45210.805555555547</v>
      </c>
      <c r="C483" t="s">
        <v>1180</v>
      </c>
      <c r="D483">
        <v>97</v>
      </c>
      <c r="E483" t="s">
        <v>792</v>
      </c>
      <c r="F483" s="4" t="str">
        <f t="shared" si="74"/>
        <v>Kongo-Central</v>
      </c>
      <c r="G483" s="4" t="str">
        <f>IFERROR(VLOOKUP(C483,'Registre maintenance'!B:F,2,FALSE),"Non trouvé")</f>
        <v>Non trouvé</v>
      </c>
      <c r="H483" t="str">
        <f>IFERROR(VLOOKUP(C483,'Registre maintenance'!B:F,3,FALSE),"Non trouvé")</f>
        <v>Non trouvé</v>
      </c>
      <c r="I483" t="str">
        <f>IFERROR(VLOOKUP(C483,'Registre maintenance'!B:F,4,FALSE),"Non trouvé")</f>
        <v>Non trouvé</v>
      </c>
      <c r="J483" t="str">
        <f>IFERROR(VLOOKUP(C483,'Registre maintenance'!B:F,5,FALSE),"Non trouvé")</f>
        <v>Non trouvé</v>
      </c>
      <c r="K483" t="str">
        <f t="shared" si="69"/>
        <v>Mismatch</v>
      </c>
    </row>
    <row r="484" spans="1:11" x14ac:dyDescent="0.3">
      <c r="A484" t="s">
        <v>1176</v>
      </c>
      <c r="B484" s="1">
        <v>45205.527083333327</v>
      </c>
      <c r="C484" t="s">
        <v>1181</v>
      </c>
      <c r="D484">
        <v>40</v>
      </c>
      <c r="E484" t="s">
        <v>797</v>
      </c>
      <c r="F484" s="4" t="s">
        <v>129</v>
      </c>
      <c r="G484" s="4" t="str">
        <f>IFERROR(VLOOKUP(C484,'Registre maintenance'!B:F,2,FALSE),"Non trouvé")</f>
        <v>Nord-Kivu</v>
      </c>
      <c r="H484">
        <f>IFERROR(VLOOKUP(C484,'Registre maintenance'!B:F,3,FALSE),"Non trouvé")</f>
        <v>-5.42171</v>
      </c>
      <c r="I484">
        <f>IFERROR(VLOOKUP(C484,'Registre maintenance'!B:F,4,FALSE),"Non trouvé")</f>
        <v>24.202960999999998</v>
      </c>
      <c r="J484" t="str">
        <f>IFERROR(VLOOKUP(C484,'Registre maintenance'!B:F,5,FALSE),"Non trouvé")</f>
        <v>5G</v>
      </c>
      <c r="K484" t="str">
        <f t="shared" si="69"/>
        <v>OK</v>
      </c>
    </row>
    <row r="485" spans="1:11" x14ac:dyDescent="0.3">
      <c r="A485" t="s">
        <v>1176</v>
      </c>
      <c r="B485" s="1">
        <v>45223.400694444441</v>
      </c>
      <c r="C485" t="s">
        <v>1106</v>
      </c>
      <c r="D485">
        <v>41</v>
      </c>
      <c r="E485" t="s">
        <v>797</v>
      </c>
      <c r="F485" s="4" t="s">
        <v>15</v>
      </c>
      <c r="G485" s="4" t="str">
        <f>IFERROR(VLOOKUP(C485,'Registre maintenance'!B:F,2,FALSE),"Non trouvé")</f>
        <v>Mongala</v>
      </c>
      <c r="H485">
        <f>IFERROR(VLOOKUP(C485,'Registre maintenance'!B:F,3,FALSE),"Non trouvé")</f>
        <v>-1.231033</v>
      </c>
      <c r="I485">
        <f>IFERROR(VLOOKUP(C485,'Registre maintenance'!B:F,4,FALSE),"Non trouvé")</f>
        <v>28.851388</v>
      </c>
      <c r="J485" t="str">
        <f>IFERROR(VLOOKUP(C485,'Registre maintenance'!B:F,5,FALSE),"Non trouvé")</f>
        <v>3G</v>
      </c>
      <c r="K485" t="str">
        <f t="shared" si="69"/>
        <v>OK</v>
      </c>
    </row>
    <row r="486" spans="1:11" x14ac:dyDescent="0.3">
      <c r="A486" t="s">
        <v>1176</v>
      </c>
      <c r="B486" s="1">
        <v>45210.703472222223</v>
      </c>
      <c r="C486" t="s">
        <v>1182</v>
      </c>
      <c r="D486">
        <v>20</v>
      </c>
      <c r="E486" t="s">
        <v>792</v>
      </c>
      <c r="F486" s="4" t="s">
        <v>59</v>
      </c>
      <c r="G486" s="4" t="str">
        <f>IFERROR(VLOOKUP(C486,'Registre maintenance'!B:F,2,FALSE),"Non trouvé")</f>
        <v>Equateur</v>
      </c>
      <c r="H486">
        <f>IFERROR(VLOOKUP(C486,'Registre maintenance'!B:F,3,FALSE),"Non trouvé")</f>
        <v>-0.79459900000000006</v>
      </c>
      <c r="I486">
        <f>IFERROR(VLOOKUP(C486,'Registre maintenance'!B:F,4,FALSE),"Non trouvé")</f>
        <v>26.775570999999999</v>
      </c>
      <c r="J486" t="str">
        <f>IFERROR(VLOOKUP(C486,'Registre maintenance'!B:F,5,FALSE),"Non trouvé")</f>
        <v>5G</v>
      </c>
      <c r="K486" t="str">
        <f t="shared" si="69"/>
        <v>OK</v>
      </c>
    </row>
    <row r="487" spans="1:11" x14ac:dyDescent="0.3">
      <c r="A487" t="s">
        <v>1176</v>
      </c>
      <c r="B487" s="1">
        <v>45216.729861111111</v>
      </c>
      <c r="C487" t="s">
        <v>976</v>
      </c>
      <c r="D487">
        <v>78</v>
      </c>
      <c r="E487" t="s">
        <v>795</v>
      </c>
      <c r="F487" s="4" t="s">
        <v>135</v>
      </c>
      <c r="G487" s="4" t="str">
        <f>IFERROR(VLOOKUP(C487,'Registre maintenance'!B:F,2,FALSE),"Non trouvé")</f>
        <v>Lualaba</v>
      </c>
      <c r="H487">
        <f>IFERROR(VLOOKUP(C487,'Registre maintenance'!B:F,3,FALSE),"Non trouvé")</f>
        <v>-9.5243310000000001</v>
      </c>
      <c r="I487">
        <f>IFERROR(VLOOKUP(C487,'Registre maintenance'!B:F,4,FALSE),"Non trouvé")</f>
        <v>30.541212000000002</v>
      </c>
      <c r="J487" t="str">
        <f>IFERROR(VLOOKUP(C487,'Registre maintenance'!B:F,5,FALSE),"Non trouvé")</f>
        <v>3G</v>
      </c>
      <c r="K487" t="str">
        <f t="shared" si="69"/>
        <v>OK</v>
      </c>
    </row>
    <row r="488" spans="1:11" x14ac:dyDescent="0.3">
      <c r="A488" t="s">
        <v>1176</v>
      </c>
      <c r="B488" s="1">
        <v>45222.763194444437</v>
      </c>
      <c r="C488" t="s">
        <v>961</v>
      </c>
      <c r="D488">
        <v>91</v>
      </c>
      <c r="E488" t="s">
        <v>797</v>
      </c>
      <c r="F488" s="4" t="s">
        <v>25</v>
      </c>
      <c r="G488" s="4" t="str">
        <f>IFERROR(VLOOKUP(C488,'Registre maintenance'!B:F,2,FALSE),"Non trouvé")</f>
        <v>Bas-Uele</v>
      </c>
      <c r="H488">
        <f>IFERROR(VLOOKUP(C488,'Registre maintenance'!B:F,3,FALSE),"Non trouvé")</f>
        <v>-3.6945459999999999</v>
      </c>
      <c r="I488">
        <f>IFERROR(VLOOKUP(C488,'Registre maintenance'!B:F,4,FALSE),"Non trouvé")</f>
        <v>16.809108999999999</v>
      </c>
      <c r="J488" t="str">
        <f>IFERROR(VLOOKUP(C488,'Registre maintenance'!B:F,5,FALSE),"Non trouvé")</f>
        <v>5G</v>
      </c>
      <c r="K488" t="str">
        <f t="shared" si="69"/>
        <v>OK</v>
      </c>
    </row>
    <row r="489" spans="1:11" x14ac:dyDescent="0.3">
      <c r="A489" t="s">
        <v>1176</v>
      </c>
      <c r="B489" s="1">
        <v>45215.015972222223</v>
      </c>
      <c r="C489" t="s">
        <v>1183</v>
      </c>
      <c r="D489">
        <v>74</v>
      </c>
      <c r="E489" t="s">
        <v>792</v>
      </c>
      <c r="F489" s="4" t="s">
        <v>32</v>
      </c>
      <c r="G489" s="4" t="str">
        <f>IFERROR(VLOOKUP(C489,'Registre maintenance'!B:F,2,FALSE),"Non trouvé")</f>
        <v>Kasai-Central</v>
      </c>
      <c r="H489">
        <f>IFERROR(VLOOKUP(C489,'Registre maintenance'!B:F,3,FALSE),"Non trouvé")</f>
        <v>-5.8352820000000003</v>
      </c>
      <c r="I489">
        <f>IFERROR(VLOOKUP(C489,'Registre maintenance'!B:F,4,FALSE),"Non trouvé")</f>
        <v>26.603978000000001</v>
      </c>
      <c r="J489" t="str">
        <f>IFERROR(VLOOKUP(C489,'Registre maintenance'!B:F,5,FALSE),"Non trouvé")</f>
        <v>4G</v>
      </c>
      <c r="K489" t="str">
        <f t="shared" si="69"/>
        <v>OK</v>
      </c>
    </row>
    <row r="490" spans="1:11" x14ac:dyDescent="0.3">
      <c r="A490" t="s">
        <v>1176</v>
      </c>
      <c r="B490" s="1">
        <v>45210.879861111112</v>
      </c>
      <c r="C490" t="s">
        <v>1184</v>
      </c>
      <c r="D490">
        <v>53</v>
      </c>
      <c r="E490" t="s">
        <v>792</v>
      </c>
      <c r="F490" s="4" t="s">
        <v>66</v>
      </c>
      <c r="G490" s="4" t="str">
        <f>IFERROR(VLOOKUP(C490,'Registre maintenance'!B:F,2,FALSE),"Non trouvé")</f>
        <v>Lomami</v>
      </c>
      <c r="H490">
        <f>IFERROR(VLOOKUP(C490,'Registre maintenance'!B:F,3,FALSE),"Non trouvé")</f>
        <v>-7.8770429999999996</v>
      </c>
      <c r="I490">
        <f>IFERROR(VLOOKUP(C490,'Registre maintenance'!B:F,4,FALSE),"Non trouvé")</f>
        <v>16.357762999999998</v>
      </c>
      <c r="J490" t="str">
        <f>IFERROR(VLOOKUP(C490,'Registre maintenance'!B:F,5,FALSE),"Non trouvé")</f>
        <v>4G</v>
      </c>
      <c r="K490" t="str">
        <f t="shared" si="69"/>
        <v>OK</v>
      </c>
    </row>
    <row r="491" spans="1:11" x14ac:dyDescent="0.3">
      <c r="A491" t="s">
        <v>1176</v>
      </c>
      <c r="B491" s="1">
        <v>45213.763194444437</v>
      </c>
      <c r="C491" t="s">
        <v>1182</v>
      </c>
      <c r="D491">
        <v>119</v>
      </c>
      <c r="E491" t="s">
        <v>797</v>
      </c>
      <c r="F491" s="4" t="s">
        <v>59</v>
      </c>
      <c r="G491" s="4" t="str">
        <f>IFERROR(VLOOKUP(C491,'Registre maintenance'!B:F,2,FALSE),"Non trouvé")</f>
        <v>Equateur</v>
      </c>
      <c r="H491">
        <f>IFERROR(VLOOKUP(C491,'Registre maintenance'!B:F,3,FALSE),"Non trouvé")</f>
        <v>-0.79459900000000006</v>
      </c>
      <c r="I491">
        <f>IFERROR(VLOOKUP(C491,'Registre maintenance'!B:F,4,FALSE),"Non trouvé")</f>
        <v>26.775570999999999</v>
      </c>
      <c r="J491" t="str">
        <f>IFERROR(VLOOKUP(C491,'Registre maintenance'!B:F,5,FALSE),"Non trouvé")</f>
        <v>5G</v>
      </c>
      <c r="K491" t="str">
        <f t="shared" si="69"/>
        <v>OK</v>
      </c>
    </row>
    <row r="492" spans="1:11" x14ac:dyDescent="0.3">
      <c r="A492" t="s">
        <v>1176</v>
      </c>
      <c r="B492" s="1">
        <v>45225.996527777781</v>
      </c>
      <c r="C492" t="s">
        <v>1002</v>
      </c>
      <c r="D492">
        <v>55</v>
      </c>
      <c r="E492" t="s">
        <v>795</v>
      </c>
      <c r="F492" s="4" t="str">
        <f>F491</f>
        <v>Equateur</v>
      </c>
      <c r="G492" s="4" t="str">
        <f>IFERROR(VLOOKUP(C492,'Registre maintenance'!B:F,2,FALSE),"Non trouvé")</f>
        <v>Non trouvé</v>
      </c>
      <c r="H492" t="str">
        <f>IFERROR(VLOOKUP(C492,'Registre maintenance'!B:F,3,FALSE),"Non trouvé")</f>
        <v>Non trouvé</v>
      </c>
      <c r="I492" t="str">
        <f>IFERROR(VLOOKUP(C492,'Registre maintenance'!B:F,4,FALSE),"Non trouvé")</f>
        <v>Non trouvé</v>
      </c>
      <c r="J492" t="str">
        <f>IFERROR(VLOOKUP(C492,'Registre maintenance'!B:F,5,FALSE),"Non trouvé")</f>
        <v>Non trouvé</v>
      </c>
      <c r="K492" t="str">
        <f t="shared" si="69"/>
        <v>Mismatch</v>
      </c>
    </row>
    <row r="493" spans="1:11" x14ac:dyDescent="0.3">
      <c r="A493" t="s">
        <v>1176</v>
      </c>
      <c r="B493" s="1">
        <v>45222.834027777782</v>
      </c>
      <c r="C493" t="s">
        <v>855</v>
      </c>
      <c r="D493">
        <v>109</v>
      </c>
      <c r="E493" t="s">
        <v>795</v>
      </c>
      <c r="F493" s="4" t="s">
        <v>23</v>
      </c>
      <c r="G493" s="4" t="str">
        <f>IFERROR(VLOOKUP(C493,'Registre maintenance'!B:F,2,FALSE),"Non trouvé")</f>
        <v>Haut-Katanga</v>
      </c>
      <c r="H493">
        <f>IFERROR(VLOOKUP(C493,'Registre maintenance'!B:F,3,FALSE),"Non trouvé")</f>
        <v>-2.9417719999999998</v>
      </c>
      <c r="I493">
        <f>IFERROR(VLOOKUP(C493,'Registre maintenance'!B:F,4,FALSE),"Non trouvé")</f>
        <v>18.587305000000001</v>
      </c>
      <c r="J493" t="str">
        <f>IFERROR(VLOOKUP(C493,'Registre maintenance'!B:F,5,FALSE),"Non trouvé")</f>
        <v>5G</v>
      </c>
      <c r="K493" t="str">
        <f t="shared" si="69"/>
        <v>OK</v>
      </c>
    </row>
    <row r="494" spans="1:11" x14ac:dyDescent="0.3">
      <c r="A494" t="s">
        <v>1176</v>
      </c>
      <c r="B494" s="1">
        <v>45219.636111111111</v>
      </c>
      <c r="C494" t="s">
        <v>1004</v>
      </c>
      <c r="D494">
        <v>49</v>
      </c>
      <c r="E494" t="s">
        <v>792</v>
      </c>
      <c r="F494" s="4" t="str">
        <f>F493</f>
        <v>Haut-Katanga</v>
      </c>
      <c r="G494" s="4" t="str">
        <f>IFERROR(VLOOKUP(C494,'Registre maintenance'!B:F,2,FALSE),"Non trouvé")</f>
        <v>Non trouvé</v>
      </c>
      <c r="H494" t="str">
        <f>IFERROR(VLOOKUP(C494,'Registre maintenance'!B:F,3,FALSE),"Non trouvé")</f>
        <v>Non trouvé</v>
      </c>
      <c r="I494" t="str">
        <f>IFERROR(VLOOKUP(C494,'Registre maintenance'!B:F,4,FALSE),"Non trouvé")</f>
        <v>Non trouvé</v>
      </c>
      <c r="J494" t="str">
        <f>IFERROR(VLOOKUP(C494,'Registre maintenance'!B:F,5,FALSE),"Non trouvé")</f>
        <v>Non trouvé</v>
      </c>
      <c r="K494" t="str">
        <f t="shared" si="69"/>
        <v>Mismatch</v>
      </c>
    </row>
    <row r="495" spans="1:11" x14ac:dyDescent="0.3">
      <c r="A495" t="s">
        <v>1176</v>
      </c>
      <c r="B495" s="1">
        <v>45230.868055555547</v>
      </c>
      <c r="C495" t="s">
        <v>1185</v>
      </c>
      <c r="D495">
        <v>103</v>
      </c>
      <c r="E495" t="s">
        <v>797</v>
      </c>
      <c r="F495" s="4" t="s">
        <v>25</v>
      </c>
      <c r="G495" s="4" t="str">
        <f>IFERROR(VLOOKUP(C495,'Registre maintenance'!B:F,2,FALSE),"Non trouvé")</f>
        <v>Bas-Uele</v>
      </c>
      <c r="H495">
        <f>IFERROR(VLOOKUP(C495,'Registre maintenance'!B:F,3,FALSE),"Non trouvé")</f>
        <v>-2.8532869999999999</v>
      </c>
      <c r="I495">
        <f>IFERROR(VLOOKUP(C495,'Registre maintenance'!B:F,4,FALSE),"Non trouvé")</f>
        <v>22.117896000000002</v>
      </c>
      <c r="J495" t="str">
        <f>IFERROR(VLOOKUP(C495,'Registre maintenance'!B:F,5,FALSE),"Non trouvé")</f>
        <v>5G</v>
      </c>
      <c r="K495" t="str">
        <f t="shared" si="69"/>
        <v>OK</v>
      </c>
    </row>
    <row r="496" spans="1:11" x14ac:dyDescent="0.3">
      <c r="A496" t="s">
        <v>1176</v>
      </c>
      <c r="B496" s="1">
        <v>45224.775000000001</v>
      </c>
      <c r="C496" t="s">
        <v>1186</v>
      </c>
      <c r="D496">
        <v>107</v>
      </c>
      <c r="E496" t="s">
        <v>797</v>
      </c>
      <c r="F496" s="4" t="str">
        <f>F495</f>
        <v>Bas-Uele</v>
      </c>
      <c r="G496" s="4" t="str">
        <f>IFERROR(VLOOKUP(C496,'Registre maintenance'!B:F,2,FALSE),"Non trouvé")</f>
        <v>Non trouvé</v>
      </c>
      <c r="H496" t="str">
        <f>IFERROR(VLOOKUP(C496,'Registre maintenance'!B:F,3,FALSE),"Non trouvé")</f>
        <v>Non trouvé</v>
      </c>
      <c r="I496" t="str">
        <f>IFERROR(VLOOKUP(C496,'Registre maintenance'!B:F,4,FALSE),"Non trouvé")</f>
        <v>Non trouvé</v>
      </c>
      <c r="J496" t="str">
        <f>IFERROR(VLOOKUP(C496,'Registre maintenance'!B:F,5,FALSE),"Non trouvé")</f>
        <v>Non trouvé</v>
      </c>
      <c r="K496" t="str">
        <f t="shared" si="69"/>
        <v>Mismatch</v>
      </c>
    </row>
    <row r="497" spans="1:11" x14ac:dyDescent="0.3">
      <c r="A497" t="s">
        <v>1176</v>
      </c>
      <c r="B497" s="1">
        <v>45207.960416666669</v>
      </c>
      <c r="C497" t="s">
        <v>960</v>
      </c>
      <c r="D497">
        <v>23</v>
      </c>
      <c r="E497" t="s">
        <v>797</v>
      </c>
      <c r="F497" s="4" t="s">
        <v>129</v>
      </c>
      <c r="G497" s="4" t="str">
        <f>IFERROR(VLOOKUP(C497,'Registre maintenance'!B:F,2,FALSE),"Non trouvé")</f>
        <v>Nord-Kivu</v>
      </c>
      <c r="H497">
        <f>IFERROR(VLOOKUP(C497,'Registre maintenance'!B:F,3,FALSE),"Non trouvé")</f>
        <v>-12.336202</v>
      </c>
      <c r="I497">
        <f>IFERROR(VLOOKUP(C497,'Registre maintenance'!B:F,4,FALSE),"Non trouvé")</f>
        <v>13.693683999999999</v>
      </c>
      <c r="J497" t="str">
        <f>IFERROR(VLOOKUP(C497,'Registre maintenance'!B:F,5,FALSE),"Non trouvé")</f>
        <v>5G</v>
      </c>
      <c r="K497" t="str">
        <f t="shared" si="69"/>
        <v>OK</v>
      </c>
    </row>
    <row r="498" spans="1:11" x14ac:dyDescent="0.3">
      <c r="A498" t="s">
        <v>1176</v>
      </c>
      <c r="B498" s="1">
        <v>45218.631944444453</v>
      </c>
      <c r="C498" t="s">
        <v>829</v>
      </c>
      <c r="D498">
        <v>42</v>
      </c>
      <c r="E498" t="s">
        <v>795</v>
      </c>
      <c r="F498" s="4" t="str">
        <f>F497</f>
        <v>Nord-Kivu</v>
      </c>
      <c r="G498" s="4" t="str">
        <f>IFERROR(VLOOKUP(C498,'Registre maintenance'!B:F,2,FALSE),"Non trouvé")</f>
        <v>Non trouvé</v>
      </c>
      <c r="H498" t="str">
        <f>IFERROR(VLOOKUP(C498,'Registre maintenance'!B:F,3,FALSE),"Non trouvé")</f>
        <v>Non trouvé</v>
      </c>
      <c r="I498" t="str">
        <f>IFERROR(VLOOKUP(C498,'Registre maintenance'!B:F,4,FALSE),"Non trouvé")</f>
        <v>Non trouvé</v>
      </c>
      <c r="J498" t="str">
        <f>IFERROR(VLOOKUP(C498,'Registre maintenance'!B:F,5,FALSE),"Non trouvé")</f>
        <v>Non trouvé</v>
      </c>
      <c r="K498" t="str">
        <f t="shared" si="69"/>
        <v>Mismatch</v>
      </c>
    </row>
    <row r="499" spans="1:11" x14ac:dyDescent="0.3">
      <c r="A499" t="s">
        <v>1176</v>
      </c>
      <c r="B499" s="1">
        <v>45216.865277777782</v>
      </c>
      <c r="C499" t="s">
        <v>1187</v>
      </c>
      <c r="D499">
        <v>10</v>
      </c>
      <c r="E499" t="s">
        <v>795</v>
      </c>
      <c r="F499" s="4" t="s">
        <v>56</v>
      </c>
      <c r="G499" s="4" t="str">
        <f>IFERROR(VLOOKUP(C499,'Registre maintenance'!B:F,2,FALSE),"Non trouvé")</f>
        <v>Kasai-Oriental</v>
      </c>
      <c r="H499">
        <f>IFERROR(VLOOKUP(C499,'Registre maintenance'!B:F,3,FALSE),"Non trouvé")</f>
        <v>-1.648326</v>
      </c>
      <c r="I499">
        <f>IFERROR(VLOOKUP(C499,'Registre maintenance'!B:F,4,FALSE),"Non trouvé")</f>
        <v>25.528901999999999</v>
      </c>
      <c r="J499" t="str">
        <f>IFERROR(VLOOKUP(C499,'Registre maintenance'!B:F,5,FALSE),"Non trouvé")</f>
        <v>4G</v>
      </c>
      <c r="K499" t="str">
        <f t="shared" si="69"/>
        <v>OK</v>
      </c>
    </row>
    <row r="500" spans="1:11" x14ac:dyDescent="0.3">
      <c r="A500" t="s">
        <v>1176</v>
      </c>
      <c r="B500" s="1">
        <v>45219.506249999999</v>
      </c>
      <c r="C500" t="s">
        <v>935</v>
      </c>
      <c r="D500">
        <v>41</v>
      </c>
      <c r="E500" t="s">
        <v>795</v>
      </c>
      <c r="F500" s="4" t="str">
        <f t="shared" ref="F500:F503" si="75">F499</f>
        <v>Kasai-Oriental</v>
      </c>
      <c r="G500" s="4" t="str">
        <f>IFERROR(VLOOKUP(C500,'Registre maintenance'!B:F,2,FALSE),"Non trouvé")</f>
        <v>Non trouvé</v>
      </c>
      <c r="H500" t="str">
        <f>IFERROR(VLOOKUP(C500,'Registre maintenance'!B:F,3,FALSE),"Non trouvé")</f>
        <v>Non trouvé</v>
      </c>
      <c r="I500" t="str">
        <f>IFERROR(VLOOKUP(C500,'Registre maintenance'!B:F,4,FALSE),"Non trouvé")</f>
        <v>Non trouvé</v>
      </c>
      <c r="J500" t="str">
        <f>IFERROR(VLOOKUP(C500,'Registre maintenance'!B:F,5,FALSE),"Non trouvé")</f>
        <v>Non trouvé</v>
      </c>
      <c r="K500" t="str">
        <f t="shared" si="69"/>
        <v>Mismatch</v>
      </c>
    </row>
    <row r="501" spans="1:11" x14ac:dyDescent="0.3">
      <c r="A501" t="s">
        <v>1176</v>
      </c>
      <c r="B501" s="1">
        <v>45226.885416666657</v>
      </c>
      <c r="C501" t="s">
        <v>1188</v>
      </c>
      <c r="D501">
        <v>96</v>
      </c>
      <c r="E501" t="s">
        <v>797</v>
      </c>
      <c r="F501" s="4" t="str">
        <f t="shared" si="75"/>
        <v>Kasai-Oriental</v>
      </c>
      <c r="G501" s="4" t="str">
        <f>IFERROR(VLOOKUP(C501,'Registre maintenance'!B:F,2,FALSE),"Non trouvé")</f>
        <v>Non trouvé</v>
      </c>
      <c r="H501" t="str">
        <f>IFERROR(VLOOKUP(C501,'Registre maintenance'!B:F,3,FALSE),"Non trouvé")</f>
        <v>Non trouvé</v>
      </c>
      <c r="I501" t="str">
        <f>IFERROR(VLOOKUP(C501,'Registre maintenance'!B:F,4,FALSE),"Non trouvé")</f>
        <v>Non trouvé</v>
      </c>
      <c r="J501" t="str">
        <f>IFERROR(VLOOKUP(C501,'Registre maintenance'!B:F,5,FALSE),"Non trouvé")</f>
        <v>Non trouvé</v>
      </c>
      <c r="K501" t="str">
        <f t="shared" si="69"/>
        <v>Mismatch</v>
      </c>
    </row>
    <row r="502" spans="1:11" x14ac:dyDescent="0.3">
      <c r="A502" t="s">
        <v>1176</v>
      </c>
      <c r="B502" s="1">
        <v>45201.780555555553</v>
      </c>
      <c r="C502" t="s">
        <v>1189</v>
      </c>
      <c r="D502">
        <v>15</v>
      </c>
      <c r="E502" t="s">
        <v>792</v>
      </c>
      <c r="F502" s="4" t="str">
        <f t="shared" si="75"/>
        <v>Kasai-Oriental</v>
      </c>
      <c r="G502" s="4" t="str">
        <f>IFERROR(VLOOKUP(C502,'Registre maintenance'!B:F,2,FALSE),"Non trouvé")</f>
        <v>Non trouvé</v>
      </c>
      <c r="H502" t="str">
        <f>IFERROR(VLOOKUP(C502,'Registre maintenance'!B:F,3,FALSE),"Non trouvé")</f>
        <v>Non trouvé</v>
      </c>
      <c r="I502" t="str">
        <f>IFERROR(VLOOKUP(C502,'Registre maintenance'!B:F,4,FALSE),"Non trouvé")</f>
        <v>Non trouvé</v>
      </c>
      <c r="J502" t="str">
        <f>IFERROR(VLOOKUP(C502,'Registre maintenance'!B:F,5,FALSE),"Non trouvé")</f>
        <v>Non trouvé</v>
      </c>
      <c r="K502" t="str">
        <f t="shared" si="69"/>
        <v>Mismatch</v>
      </c>
    </row>
    <row r="503" spans="1:11" x14ac:dyDescent="0.3">
      <c r="A503" t="s">
        <v>1176</v>
      </c>
      <c r="B503" s="1">
        <v>45203.250694444447</v>
      </c>
      <c r="C503" t="s">
        <v>923</v>
      </c>
      <c r="D503">
        <v>49</v>
      </c>
      <c r="E503" t="s">
        <v>795</v>
      </c>
      <c r="F503" s="4" t="str">
        <f t="shared" si="75"/>
        <v>Kasai-Oriental</v>
      </c>
      <c r="G503" s="4" t="str">
        <f>IFERROR(VLOOKUP(C503,'Registre maintenance'!B:F,2,FALSE),"Non trouvé")</f>
        <v>Non trouvé</v>
      </c>
      <c r="H503" t="str">
        <f>IFERROR(VLOOKUP(C503,'Registre maintenance'!B:F,3,FALSE),"Non trouvé")</f>
        <v>Non trouvé</v>
      </c>
      <c r="I503" t="str">
        <f>IFERROR(VLOOKUP(C503,'Registre maintenance'!B:F,4,FALSE),"Non trouvé")</f>
        <v>Non trouvé</v>
      </c>
      <c r="J503" t="str">
        <f>IFERROR(VLOOKUP(C503,'Registre maintenance'!B:F,5,FALSE),"Non trouvé")</f>
        <v>Non trouvé</v>
      </c>
      <c r="K503" t="str">
        <f t="shared" si="69"/>
        <v>Mismatch</v>
      </c>
    </row>
    <row r="504" spans="1:11" x14ac:dyDescent="0.3">
      <c r="A504" t="s">
        <v>1176</v>
      </c>
      <c r="B504" s="1">
        <v>45214.43472222222</v>
      </c>
      <c r="C504" t="s">
        <v>831</v>
      </c>
      <c r="D504">
        <v>61</v>
      </c>
      <c r="E504" t="s">
        <v>797</v>
      </c>
      <c r="F504" s="4" t="s">
        <v>36</v>
      </c>
      <c r="G504" s="4" t="str">
        <f>IFERROR(VLOOKUP(C504,'Registre maintenance'!B:F,2,FALSE),"Non trouvé")</f>
        <v>Tanganyika</v>
      </c>
      <c r="H504">
        <f>IFERROR(VLOOKUP(C504,'Registre maintenance'!B:F,3,FALSE),"Non trouvé")</f>
        <v>-10.776204</v>
      </c>
      <c r="I504">
        <f>IFERROR(VLOOKUP(C504,'Registre maintenance'!B:F,4,FALSE),"Non trouvé")</f>
        <v>24.672934000000001</v>
      </c>
      <c r="J504" t="str">
        <f>IFERROR(VLOOKUP(C504,'Registre maintenance'!B:F,5,FALSE),"Non trouvé")</f>
        <v>4G</v>
      </c>
      <c r="K504" t="str">
        <f t="shared" si="69"/>
        <v>OK</v>
      </c>
    </row>
    <row r="505" spans="1:11" x14ac:dyDescent="0.3">
      <c r="A505" t="s">
        <v>1176</v>
      </c>
      <c r="B505" s="1">
        <v>45204.572222222218</v>
      </c>
      <c r="C505" t="s">
        <v>938</v>
      </c>
      <c r="D505">
        <v>88</v>
      </c>
      <c r="E505" t="s">
        <v>797</v>
      </c>
      <c r="F505" s="4" t="s">
        <v>32</v>
      </c>
      <c r="G505" s="4" t="str">
        <f>IFERROR(VLOOKUP(C505,'Registre maintenance'!B:F,2,FALSE),"Non trouvé")</f>
        <v>Kasai-Central</v>
      </c>
      <c r="H505">
        <f>IFERROR(VLOOKUP(C505,'Registre maintenance'!B:F,3,FALSE),"Non trouvé")</f>
        <v>-3.111418</v>
      </c>
      <c r="I505">
        <f>IFERROR(VLOOKUP(C505,'Registre maintenance'!B:F,4,FALSE),"Non trouvé")</f>
        <v>14.144854</v>
      </c>
      <c r="J505" t="str">
        <f>IFERROR(VLOOKUP(C505,'Registre maintenance'!B:F,5,FALSE),"Non trouvé")</f>
        <v>4G</v>
      </c>
      <c r="K505" t="str">
        <f t="shared" si="69"/>
        <v>OK</v>
      </c>
    </row>
    <row r="506" spans="1:11" x14ac:dyDescent="0.3">
      <c r="A506" t="s">
        <v>1176</v>
      </c>
      <c r="B506" s="1">
        <v>45206.563888888893</v>
      </c>
      <c r="C506" t="s">
        <v>1190</v>
      </c>
      <c r="D506">
        <v>37</v>
      </c>
      <c r="E506" t="s">
        <v>792</v>
      </c>
      <c r="F506" s="4" t="s">
        <v>125</v>
      </c>
      <c r="G506" s="4" t="str">
        <f>IFERROR(VLOOKUP(C506,'Registre maintenance'!B:F,2,FALSE),"Non trouvé")</f>
        <v>Haut-Uele</v>
      </c>
      <c r="H506">
        <f>IFERROR(VLOOKUP(C506,'Registre maintenance'!B:F,3,FALSE),"Non trouvé")</f>
        <v>0.20866199999999999</v>
      </c>
      <c r="I506">
        <f>IFERROR(VLOOKUP(C506,'Registre maintenance'!B:F,4,FALSE),"Non trouvé")</f>
        <v>18.556439000000001</v>
      </c>
      <c r="J506" t="str">
        <f>IFERROR(VLOOKUP(C506,'Registre maintenance'!B:F,5,FALSE),"Non trouvé")</f>
        <v>4G</v>
      </c>
      <c r="K506" t="str">
        <f t="shared" si="69"/>
        <v>OK</v>
      </c>
    </row>
    <row r="507" spans="1:11" x14ac:dyDescent="0.3">
      <c r="A507" t="s">
        <v>1176</v>
      </c>
      <c r="B507" s="1">
        <v>45224.831944444442</v>
      </c>
      <c r="C507" t="s">
        <v>1191</v>
      </c>
      <c r="D507">
        <v>100</v>
      </c>
      <c r="E507" t="s">
        <v>792</v>
      </c>
      <c r="F507" s="4" t="str">
        <f t="shared" ref="F507:F508" si="76">F506</f>
        <v>Haut-Uele</v>
      </c>
      <c r="G507" s="4" t="str">
        <f>IFERROR(VLOOKUP(C507,'Registre maintenance'!B:F,2,FALSE),"Non trouvé")</f>
        <v>Non trouvé</v>
      </c>
      <c r="H507" t="str">
        <f>IFERROR(VLOOKUP(C507,'Registre maintenance'!B:F,3,FALSE),"Non trouvé")</f>
        <v>Non trouvé</v>
      </c>
      <c r="I507" t="str">
        <f>IFERROR(VLOOKUP(C507,'Registre maintenance'!B:F,4,FALSE),"Non trouvé")</f>
        <v>Non trouvé</v>
      </c>
      <c r="J507" t="str">
        <f>IFERROR(VLOOKUP(C507,'Registre maintenance'!B:F,5,FALSE),"Non trouvé")</f>
        <v>Non trouvé</v>
      </c>
      <c r="K507" t="str">
        <f t="shared" si="69"/>
        <v>Mismatch</v>
      </c>
    </row>
    <row r="508" spans="1:11" x14ac:dyDescent="0.3">
      <c r="A508" t="s">
        <v>1176</v>
      </c>
      <c r="B508" s="1">
        <v>45215.990277777782</v>
      </c>
      <c r="C508" t="s">
        <v>1102</v>
      </c>
      <c r="D508">
        <v>66</v>
      </c>
      <c r="E508" t="s">
        <v>797</v>
      </c>
      <c r="F508" s="4" t="str">
        <f t="shared" si="76"/>
        <v>Haut-Uele</v>
      </c>
      <c r="G508" s="4" t="str">
        <f>IFERROR(VLOOKUP(C508,'Registre maintenance'!B:F,2,FALSE),"Non trouvé")</f>
        <v>Non trouvé</v>
      </c>
      <c r="H508" t="str">
        <f>IFERROR(VLOOKUP(C508,'Registre maintenance'!B:F,3,FALSE),"Non trouvé")</f>
        <v>Non trouvé</v>
      </c>
      <c r="I508" t="str">
        <f>IFERROR(VLOOKUP(C508,'Registre maintenance'!B:F,4,FALSE),"Non trouvé")</f>
        <v>Non trouvé</v>
      </c>
      <c r="J508" t="str">
        <f>IFERROR(VLOOKUP(C508,'Registre maintenance'!B:F,5,FALSE),"Non trouvé")</f>
        <v>Non trouvé</v>
      </c>
      <c r="K508" t="str">
        <f t="shared" si="69"/>
        <v>Mismatch</v>
      </c>
    </row>
    <row r="509" spans="1:11" x14ac:dyDescent="0.3">
      <c r="A509" t="s">
        <v>1176</v>
      </c>
      <c r="B509" s="1">
        <v>45201.922222222223</v>
      </c>
      <c r="C509" t="s">
        <v>982</v>
      </c>
      <c r="D509">
        <v>32</v>
      </c>
      <c r="E509" t="s">
        <v>792</v>
      </c>
      <c r="F509" s="4" t="s">
        <v>25</v>
      </c>
      <c r="G509" s="4" t="str">
        <f>IFERROR(VLOOKUP(C509,'Registre maintenance'!B:F,2,FALSE),"Non trouvé")</f>
        <v>Bas-Uele</v>
      </c>
      <c r="H509">
        <f>IFERROR(VLOOKUP(C509,'Registre maintenance'!B:F,3,FALSE),"Non trouvé")</f>
        <v>1.5278670000000001</v>
      </c>
      <c r="I509">
        <f>IFERROR(VLOOKUP(C509,'Registre maintenance'!B:F,4,FALSE),"Non trouvé")</f>
        <v>13.899388999999999</v>
      </c>
      <c r="J509" t="str">
        <f>IFERROR(VLOOKUP(C509,'Registre maintenance'!B:F,5,FALSE),"Non trouvé")</f>
        <v>3G</v>
      </c>
      <c r="K509" t="str">
        <f t="shared" si="69"/>
        <v>OK</v>
      </c>
    </row>
    <row r="510" spans="1:11" x14ac:dyDescent="0.3">
      <c r="A510" t="s">
        <v>1176</v>
      </c>
      <c r="B510" s="1">
        <v>45216.274305555547</v>
      </c>
      <c r="C510" t="s">
        <v>1186</v>
      </c>
      <c r="D510">
        <v>30</v>
      </c>
      <c r="E510" t="s">
        <v>795</v>
      </c>
      <c r="F510" s="4" t="str">
        <f t="shared" ref="F510:F512" si="77">F509</f>
        <v>Bas-Uele</v>
      </c>
      <c r="G510" s="4" t="str">
        <f>IFERROR(VLOOKUP(C510,'Registre maintenance'!B:F,2,FALSE),"Non trouvé")</f>
        <v>Non trouvé</v>
      </c>
      <c r="H510" t="str">
        <f>IFERROR(VLOOKUP(C510,'Registre maintenance'!B:F,3,FALSE),"Non trouvé")</f>
        <v>Non trouvé</v>
      </c>
      <c r="I510" t="str">
        <f>IFERROR(VLOOKUP(C510,'Registre maintenance'!B:F,4,FALSE),"Non trouvé")</f>
        <v>Non trouvé</v>
      </c>
      <c r="J510" t="str">
        <f>IFERROR(VLOOKUP(C510,'Registre maintenance'!B:F,5,FALSE),"Non trouvé")</f>
        <v>Non trouvé</v>
      </c>
      <c r="K510" t="str">
        <f t="shared" si="69"/>
        <v>Mismatch</v>
      </c>
    </row>
    <row r="511" spans="1:11" x14ac:dyDescent="0.3">
      <c r="A511" t="s">
        <v>1176</v>
      </c>
      <c r="B511" s="1">
        <v>45210.895833333343</v>
      </c>
      <c r="C511" t="s">
        <v>990</v>
      </c>
      <c r="D511">
        <v>110</v>
      </c>
      <c r="E511" t="s">
        <v>797</v>
      </c>
      <c r="F511" s="4" t="str">
        <f t="shared" si="77"/>
        <v>Bas-Uele</v>
      </c>
      <c r="G511" s="4" t="str">
        <f>IFERROR(VLOOKUP(C511,'Registre maintenance'!B:F,2,FALSE),"Non trouvé")</f>
        <v>Non trouvé</v>
      </c>
      <c r="H511" t="str">
        <f>IFERROR(VLOOKUP(C511,'Registre maintenance'!B:F,3,FALSE),"Non trouvé")</f>
        <v>Non trouvé</v>
      </c>
      <c r="I511" t="str">
        <f>IFERROR(VLOOKUP(C511,'Registre maintenance'!B:F,4,FALSE),"Non trouvé")</f>
        <v>Non trouvé</v>
      </c>
      <c r="J511" t="str">
        <f>IFERROR(VLOOKUP(C511,'Registre maintenance'!B:F,5,FALSE),"Non trouvé")</f>
        <v>Non trouvé</v>
      </c>
      <c r="K511" t="str">
        <f t="shared" si="69"/>
        <v>Mismatch</v>
      </c>
    </row>
    <row r="512" spans="1:11" x14ac:dyDescent="0.3">
      <c r="A512" t="s">
        <v>1176</v>
      </c>
      <c r="B512" s="1">
        <v>45216.513888888891</v>
      </c>
      <c r="C512" t="s">
        <v>1192</v>
      </c>
      <c r="D512">
        <v>73</v>
      </c>
      <c r="E512" t="s">
        <v>795</v>
      </c>
      <c r="F512" s="4" t="str">
        <f t="shared" si="77"/>
        <v>Bas-Uele</v>
      </c>
      <c r="G512" s="4" t="str">
        <f>IFERROR(VLOOKUP(C512,'Registre maintenance'!B:F,2,FALSE),"Non trouvé")</f>
        <v>Non trouvé</v>
      </c>
      <c r="H512" t="str">
        <f>IFERROR(VLOOKUP(C512,'Registre maintenance'!B:F,3,FALSE),"Non trouvé")</f>
        <v>Non trouvé</v>
      </c>
      <c r="I512" t="str">
        <f>IFERROR(VLOOKUP(C512,'Registre maintenance'!B:F,4,FALSE),"Non trouvé")</f>
        <v>Non trouvé</v>
      </c>
      <c r="J512" t="str">
        <f>IFERROR(VLOOKUP(C512,'Registre maintenance'!B:F,5,FALSE),"Non trouvé")</f>
        <v>Non trouvé</v>
      </c>
      <c r="K512" t="str">
        <f t="shared" si="69"/>
        <v>Mismatch</v>
      </c>
    </row>
    <row r="513" spans="1:11" x14ac:dyDescent="0.3">
      <c r="A513" t="s">
        <v>1176</v>
      </c>
      <c r="B513" s="1">
        <v>45230.228472222218</v>
      </c>
      <c r="C513" t="s">
        <v>920</v>
      </c>
      <c r="D513">
        <v>39</v>
      </c>
      <c r="E513" t="s">
        <v>797</v>
      </c>
      <c r="F513" s="4" t="s">
        <v>66</v>
      </c>
      <c r="G513" s="4" t="str">
        <f>IFERROR(VLOOKUP(C513,'Registre maintenance'!B:F,2,FALSE),"Non trouvé")</f>
        <v>Lomami</v>
      </c>
      <c r="H513">
        <f>IFERROR(VLOOKUP(C513,'Registre maintenance'!B:F,3,FALSE),"Non trouvé")</f>
        <v>-5.7035130000000001</v>
      </c>
      <c r="I513">
        <f>IFERROR(VLOOKUP(C513,'Registre maintenance'!B:F,4,FALSE),"Non trouvé")</f>
        <v>14.331479</v>
      </c>
      <c r="J513" t="str">
        <f>IFERROR(VLOOKUP(C513,'Registre maintenance'!B:F,5,FALSE),"Non trouvé")</f>
        <v>5G</v>
      </c>
      <c r="K513" t="str">
        <f t="shared" si="69"/>
        <v>OK</v>
      </c>
    </row>
    <row r="514" spans="1:11" x14ac:dyDescent="0.3">
      <c r="A514" t="s">
        <v>1176</v>
      </c>
      <c r="B514" s="1">
        <v>45229.722916666673</v>
      </c>
      <c r="C514" t="s">
        <v>939</v>
      </c>
      <c r="D514">
        <v>76</v>
      </c>
      <c r="E514" t="s">
        <v>795</v>
      </c>
      <c r="F514" s="4" t="s">
        <v>87</v>
      </c>
      <c r="G514" s="4" t="str">
        <f>IFERROR(VLOOKUP(C514,'Registre maintenance'!B:F,2,FALSE),"Non trouvé")</f>
        <v>Nord-Ubangi</v>
      </c>
      <c r="H514">
        <f>IFERROR(VLOOKUP(C514,'Registre maintenance'!B:F,3,FALSE),"Non trouvé")</f>
        <v>-1.342476</v>
      </c>
      <c r="I514">
        <f>IFERROR(VLOOKUP(C514,'Registre maintenance'!B:F,4,FALSE),"Non trouvé")</f>
        <v>15.986086</v>
      </c>
      <c r="J514" t="str">
        <f>IFERROR(VLOOKUP(C514,'Registre maintenance'!B:F,5,FALSE),"Non trouvé")</f>
        <v>4G</v>
      </c>
      <c r="K514" t="str">
        <f t="shared" ref="K514:K577" si="78">IF(F514=G514,"OK","Mismatch")</f>
        <v>OK</v>
      </c>
    </row>
    <row r="515" spans="1:11" x14ac:dyDescent="0.3">
      <c r="A515" t="s">
        <v>1176</v>
      </c>
      <c r="B515" s="1">
        <v>45217.488194444442</v>
      </c>
      <c r="C515" t="s">
        <v>1193</v>
      </c>
      <c r="D515">
        <v>94</v>
      </c>
      <c r="E515" t="s">
        <v>792</v>
      </c>
      <c r="F515" s="4" t="str">
        <f t="shared" ref="F515:F516" si="79">F514</f>
        <v>Nord-Ubangi</v>
      </c>
      <c r="G515" s="4" t="str">
        <f>IFERROR(VLOOKUP(C515,'Registre maintenance'!B:F,2,FALSE),"Non trouvé")</f>
        <v>Non trouvé</v>
      </c>
      <c r="H515" t="str">
        <f>IFERROR(VLOOKUP(C515,'Registre maintenance'!B:F,3,FALSE),"Non trouvé")</f>
        <v>Non trouvé</v>
      </c>
      <c r="I515" t="str">
        <f>IFERROR(VLOOKUP(C515,'Registre maintenance'!B:F,4,FALSE),"Non trouvé")</f>
        <v>Non trouvé</v>
      </c>
      <c r="J515" t="str">
        <f>IFERROR(VLOOKUP(C515,'Registre maintenance'!B:F,5,FALSE),"Non trouvé")</f>
        <v>Non trouvé</v>
      </c>
      <c r="K515" t="str">
        <f t="shared" si="78"/>
        <v>Mismatch</v>
      </c>
    </row>
    <row r="516" spans="1:11" x14ac:dyDescent="0.3">
      <c r="A516" t="s">
        <v>1176</v>
      </c>
      <c r="B516" s="1">
        <v>45224.988194444442</v>
      </c>
      <c r="C516" t="s">
        <v>846</v>
      </c>
      <c r="D516">
        <v>39</v>
      </c>
      <c r="E516" t="s">
        <v>792</v>
      </c>
      <c r="F516" s="4" t="str">
        <f t="shared" si="79"/>
        <v>Nord-Ubangi</v>
      </c>
      <c r="G516" s="4" t="str">
        <f>IFERROR(VLOOKUP(C516,'Registre maintenance'!B:F,2,FALSE),"Non trouvé")</f>
        <v>Non trouvé</v>
      </c>
      <c r="H516" t="str">
        <f>IFERROR(VLOOKUP(C516,'Registre maintenance'!B:F,3,FALSE),"Non trouvé")</f>
        <v>Non trouvé</v>
      </c>
      <c r="I516" t="str">
        <f>IFERROR(VLOOKUP(C516,'Registre maintenance'!B:F,4,FALSE),"Non trouvé")</f>
        <v>Non trouvé</v>
      </c>
      <c r="J516" t="str">
        <f>IFERROR(VLOOKUP(C516,'Registre maintenance'!B:F,5,FALSE),"Non trouvé")</f>
        <v>Non trouvé</v>
      </c>
      <c r="K516" t="str">
        <f t="shared" si="78"/>
        <v>Mismatch</v>
      </c>
    </row>
    <row r="517" spans="1:11" x14ac:dyDescent="0.3">
      <c r="A517" t="s">
        <v>1176</v>
      </c>
      <c r="B517" s="1">
        <v>45220.927777777782</v>
      </c>
      <c r="C517" t="s">
        <v>1095</v>
      </c>
      <c r="D517">
        <v>22</v>
      </c>
      <c r="E517" t="s">
        <v>795</v>
      </c>
      <c r="F517" s="4" t="s">
        <v>28</v>
      </c>
      <c r="G517" s="4" t="str">
        <f>IFERROR(VLOOKUP(C517,'Registre maintenance'!B:F,2,FALSE),"Non trouvé")</f>
        <v>Kasai</v>
      </c>
      <c r="H517">
        <f>IFERROR(VLOOKUP(C517,'Registre maintenance'!B:F,3,FALSE),"Non trouvé")</f>
        <v>1.5802860000000001</v>
      </c>
      <c r="I517">
        <f>IFERROR(VLOOKUP(C517,'Registre maintenance'!B:F,4,FALSE),"Non trouvé")</f>
        <v>20.99053</v>
      </c>
      <c r="J517" t="str">
        <f>IFERROR(VLOOKUP(C517,'Registre maintenance'!B:F,5,FALSE),"Non trouvé")</f>
        <v>4G</v>
      </c>
      <c r="K517" t="str">
        <f t="shared" si="78"/>
        <v>OK</v>
      </c>
    </row>
    <row r="518" spans="1:11" x14ac:dyDescent="0.3">
      <c r="A518" t="s">
        <v>1176</v>
      </c>
      <c r="B518" s="1">
        <v>45219.633333333331</v>
      </c>
      <c r="C518" t="s">
        <v>1194</v>
      </c>
      <c r="D518">
        <v>18</v>
      </c>
      <c r="E518" t="s">
        <v>797</v>
      </c>
      <c r="F518" s="4" t="str">
        <f>F517</f>
        <v>Kasai</v>
      </c>
      <c r="G518" s="4" t="str">
        <f>IFERROR(VLOOKUP(C518,'Registre maintenance'!B:F,2,FALSE),"Non trouvé")</f>
        <v>Non trouvé</v>
      </c>
      <c r="H518" t="str">
        <f>IFERROR(VLOOKUP(C518,'Registre maintenance'!B:F,3,FALSE),"Non trouvé")</f>
        <v>Non trouvé</v>
      </c>
      <c r="I518" t="str">
        <f>IFERROR(VLOOKUP(C518,'Registre maintenance'!B:F,4,FALSE),"Non trouvé")</f>
        <v>Non trouvé</v>
      </c>
      <c r="J518" t="str">
        <f>IFERROR(VLOOKUP(C518,'Registre maintenance'!B:F,5,FALSE),"Non trouvé")</f>
        <v>Non trouvé</v>
      </c>
      <c r="K518" t="str">
        <f t="shared" si="78"/>
        <v>Mismatch</v>
      </c>
    </row>
    <row r="519" spans="1:11" x14ac:dyDescent="0.3">
      <c r="A519" t="s">
        <v>1176</v>
      </c>
      <c r="B519" s="1">
        <v>45230.303472222222</v>
      </c>
      <c r="C519" t="s">
        <v>1195</v>
      </c>
      <c r="D519">
        <v>83</v>
      </c>
      <c r="E519" t="s">
        <v>797</v>
      </c>
      <c r="F519" s="4" t="s">
        <v>61</v>
      </c>
      <c r="G519" s="4" t="str">
        <f>IFERROR(VLOOKUP(C519,'Registre maintenance'!B:F,2,FALSE),"Non trouvé")</f>
        <v>Kongo-Central</v>
      </c>
      <c r="H519">
        <f>IFERROR(VLOOKUP(C519,'Registre maintenance'!B:F,3,FALSE),"Non trouvé")</f>
        <v>-9.8208710000000004</v>
      </c>
      <c r="I519">
        <f>IFERROR(VLOOKUP(C519,'Registre maintenance'!B:F,4,FALSE),"Non trouvé")</f>
        <v>23.229807000000001</v>
      </c>
      <c r="J519" t="str">
        <f>IFERROR(VLOOKUP(C519,'Registre maintenance'!B:F,5,FALSE),"Non trouvé")</f>
        <v>5G</v>
      </c>
      <c r="K519" t="str">
        <f t="shared" si="78"/>
        <v>OK</v>
      </c>
    </row>
    <row r="520" spans="1:11" x14ac:dyDescent="0.3">
      <c r="A520" t="s">
        <v>1176</v>
      </c>
      <c r="B520" s="1">
        <v>45217.384722222218</v>
      </c>
      <c r="C520" t="s">
        <v>1196</v>
      </c>
      <c r="D520">
        <v>99</v>
      </c>
      <c r="E520" t="s">
        <v>795</v>
      </c>
      <c r="F520" s="4" t="s">
        <v>17</v>
      </c>
      <c r="G520" s="4" t="str">
        <f>IFERROR(VLOOKUP(C520,'Registre maintenance'!B:F,2,FALSE),"Non trouvé")</f>
        <v>Haut-Lomami</v>
      </c>
      <c r="H520">
        <f>IFERROR(VLOOKUP(C520,'Registre maintenance'!B:F,3,FALSE),"Non trouvé")</f>
        <v>-4.8157019999999999</v>
      </c>
      <c r="I520">
        <f>IFERROR(VLOOKUP(C520,'Registre maintenance'!B:F,4,FALSE),"Non trouvé")</f>
        <v>27.679798000000002</v>
      </c>
      <c r="J520" t="str">
        <f>IFERROR(VLOOKUP(C520,'Registre maintenance'!B:F,5,FALSE),"Non trouvé")</f>
        <v>3G</v>
      </c>
      <c r="K520" t="str">
        <f t="shared" si="78"/>
        <v>OK</v>
      </c>
    </row>
    <row r="521" spans="1:11" x14ac:dyDescent="0.3">
      <c r="A521" t="s">
        <v>1176</v>
      </c>
      <c r="B521" s="1">
        <v>45230.40902777778</v>
      </c>
      <c r="C521" t="s">
        <v>1197</v>
      </c>
      <c r="D521">
        <v>80</v>
      </c>
      <c r="E521" t="s">
        <v>795</v>
      </c>
      <c r="F521" s="4" t="s">
        <v>50</v>
      </c>
      <c r="G521" s="4" t="str">
        <f>IFERROR(VLOOKUP(C521,'Registre maintenance'!B:F,2,FALSE),"Non trouvé")</f>
        <v>Kwilu</v>
      </c>
      <c r="H521">
        <f>IFERROR(VLOOKUP(C521,'Registre maintenance'!B:F,3,FALSE),"Non trouvé")</f>
        <v>0.62055499999999997</v>
      </c>
      <c r="I521">
        <f>IFERROR(VLOOKUP(C521,'Registre maintenance'!B:F,4,FALSE),"Non trouvé")</f>
        <v>21.222035000000002</v>
      </c>
      <c r="J521" t="str">
        <f>IFERROR(VLOOKUP(C521,'Registre maintenance'!B:F,5,FALSE),"Non trouvé")</f>
        <v>5G</v>
      </c>
      <c r="K521" t="str">
        <f t="shared" si="78"/>
        <v>OK</v>
      </c>
    </row>
    <row r="522" spans="1:11" x14ac:dyDescent="0.3">
      <c r="A522" t="s">
        <v>1176</v>
      </c>
      <c r="B522" s="1">
        <v>45209.925694444442</v>
      </c>
      <c r="C522" t="s">
        <v>1198</v>
      </c>
      <c r="D522">
        <v>35</v>
      </c>
      <c r="E522" t="s">
        <v>792</v>
      </c>
      <c r="F522" s="4" t="str">
        <f t="shared" ref="F522:F523" si="80">F521</f>
        <v>Kwilu</v>
      </c>
      <c r="G522" s="4" t="str">
        <f>IFERROR(VLOOKUP(C522,'Registre maintenance'!B:F,2,FALSE),"Non trouvé")</f>
        <v>Non trouvé</v>
      </c>
      <c r="H522" t="str">
        <f>IFERROR(VLOOKUP(C522,'Registre maintenance'!B:F,3,FALSE),"Non trouvé")</f>
        <v>Non trouvé</v>
      </c>
      <c r="I522" t="str">
        <f>IFERROR(VLOOKUP(C522,'Registre maintenance'!B:F,4,FALSE),"Non trouvé")</f>
        <v>Non trouvé</v>
      </c>
      <c r="J522" t="str">
        <f>IFERROR(VLOOKUP(C522,'Registre maintenance'!B:F,5,FALSE),"Non trouvé")</f>
        <v>Non trouvé</v>
      </c>
      <c r="K522" t="str">
        <f t="shared" si="78"/>
        <v>Mismatch</v>
      </c>
    </row>
    <row r="523" spans="1:11" x14ac:dyDescent="0.3">
      <c r="A523" t="s">
        <v>1176</v>
      </c>
      <c r="B523" s="1">
        <v>45222.938194444447</v>
      </c>
      <c r="C523" t="s">
        <v>1199</v>
      </c>
      <c r="D523">
        <v>36</v>
      </c>
      <c r="E523" t="s">
        <v>792</v>
      </c>
      <c r="F523" s="4" t="str">
        <f t="shared" si="80"/>
        <v>Kwilu</v>
      </c>
      <c r="G523" s="4" t="str">
        <f>IFERROR(VLOOKUP(C523,'Registre maintenance'!B:F,2,FALSE),"Non trouvé")</f>
        <v>Non trouvé</v>
      </c>
      <c r="H523" t="str">
        <f>IFERROR(VLOOKUP(C523,'Registre maintenance'!B:F,3,FALSE),"Non trouvé")</f>
        <v>Non trouvé</v>
      </c>
      <c r="I523" t="str">
        <f>IFERROR(VLOOKUP(C523,'Registre maintenance'!B:F,4,FALSE),"Non trouvé")</f>
        <v>Non trouvé</v>
      </c>
      <c r="J523" t="str">
        <f>IFERROR(VLOOKUP(C523,'Registre maintenance'!B:F,5,FALSE),"Non trouvé")</f>
        <v>Non trouvé</v>
      </c>
      <c r="K523" t="str">
        <f t="shared" si="78"/>
        <v>Mismatch</v>
      </c>
    </row>
    <row r="524" spans="1:11" x14ac:dyDescent="0.3">
      <c r="A524" t="s">
        <v>1200</v>
      </c>
      <c r="B524" s="1">
        <v>45202.529166666667</v>
      </c>
      <c r="C524" t="s">
        <v>1201</v>
      </c>
      <c r="D524">
        <v>109</v>
      </c>
      <c r="E524" t="s">
        <v>795</v>
      </c>
      <c r="F524" s="4" t="s">
        <v>125</v>
      </c>
      <c r="G524" s="4" t="str">
        <f>IFERROR(VLOOKUP(C524,'Registre maintenance'!B:F,2,FALSE),"Non trouvé")</f>
        <v>Haut-Uele</v>
      </c>
      <c r="H524">
        <f>IFERROR(VLOOKUP(C524,'Registre maintenance'!B:F,3,FALSE),"Non trouvé")</f>
        <v>-7.1483749999999997</v>
      </c>
      <c r="I524">
        <f>IFERROR(VLOOKUP(C524,'Registre maintenance'!B:F,4,FALSE),"Non trouvé")</f>
        <v>26.014271000000001</v>
      </c>
      <c r="J524" t="str">
        <f>IFERROR(VLOOKUP(C524,'Registre maintenance'!B:F,5,FALSE),"Non trouvé")</f>
        <v>5G</v>
      </c>
      <c r="K524" t="str">
        <f t="shared" si="78"/>
        <v>OK</v>
      </c>
    </row>
    <row r="525" spans="1:11" x14ac:dyDescent="0.3">
      <c r="A525" t="s">
        <v>1200</v>
      </c>
      <c r="B525" s="1">
        <v>45203.213888888888</v>
      </c>
      <c r="C525" t="s">
        <v>1202</v>
      </c>
      <c r="D525">
        <v>5</v>
      </c>
      <c r="E525" t="s">
        <v>792</v>
      </c>
      <c r="F525" s="4" t="s">
        <v>129</v>
      </c>
      <c r="G525" s="4" t="str">
        <f>IFERROR(VLOOKUP(C525,'Registre maintenance'!B:F,2,FALSE),"Non trouvé")</f>
        <v>Nord-Kivu</v>
      </c>
      <c r="H525">
        <f>IFERROR(VLOOKUP(C525,'Registre maintenance'!B:F,3,FALSE),"Non trouvé")</f>
        <v>-6.5332999999999997</v>
      </c>
      <c r="I525">
        <f>IFERROR(VLOOKUP(C525,'Registre maintenance'!B:F,4,FALSE),"Non trouvé")</f>
        <v>20.098018</v>
      </c>
      <c r="J525" t="str">
        <f>IFERROR(VLOOKUP(C525,'Registre maintenance'!B:F,5,FALSE),"Non trouvé")</f>
        <v>4G</v>
      </c>
      <c r="K525" t="str">
        <f t="shared" si="78"/>
        <v>OK</v>
      </c>
    </row>
    <row r="526" spans="1:11" x14ac:dyDescent="0.3">
      <c r="A526" t="s">
        <v>1200</v>
      </c>
      <c r="B526" s="1">
        <v>45215.457638888889</v>
      </c>
      <c r="C526" t="s">
        <v>1203</v>
      </c>
      <c r="D526">
        <v>100</v>
      </c>
      <c r="E526" t="s">
        <v>792</v>
      </c>
      <c r="F526" s="4" t="s">
        <v>36</v>
      </c>
      <c r="G526" s="4" t="str">
        <f>IFERROR(VLOOKUP(C526,'Registre maintenance'!B:F,2,FALSE),"Non trouvé")</f>
        <v>Tanganyika</v>
      </c>
      <c r="H526">
        <f>IFERROR(VLOOKUP(C526,'Registre maintenance'!B:F,3,FALSE),"Non trouvé")</f>
        <v>-11.793894</v>
      </c>
      <c r="I526">
        <f>IFERROR(VLOOKUP(C526,'Registre maintenance'!B:F,4,FALSE),"Non trouvé")</f>
        <v>20.433340999999999</v>
      </c>
      <c r="J526" t="str">
        <f>IFERROR(VLOOKUP(C526,'Registre maintenance'!B:F,5,FALSE),"Non trouvé")</f>
        <v>5G</v>
      </c>
      <c r="K526" t="str">
        <f t="shared" si="78"/>
        <v>OK</v>
      </c>
    </row>
    <row r="527" spans="1:11" x14ac:dyDescent="0.3">
      <c r="A527" t="s">
        <v>1200</v>
      </c>
      <c r="B527" s="1">
        <v>45207.011111111111</v>
      </c>
      <c r="C527" t="s">
        <v>1204</v>
      </c>
      <c r="D527">
        <v>32</v>
      </c>
      <c r="E527" t="s">
        <v>792</v>
      </c>
      <c r="F527" s="4" t="s">
        <v>32</v>
      </c>
      <c r="G527" s="4" t="str">
        <f>IFERROR(VLOOKUP(C527,'Registre maintenance'!B:F,2,FALSE),"Non trouvé")</f>
        <v>Kasai-Central</v>
      </c>
      <c r="H527">
        <f>IFERROR(VLOOKUP(C527,'Registre maintenance'!B:F,3,FALSE),"Non trouvé")</f>
        <v>1.897178</v>
      </c>
      <c r="I527">
        <f>IFERROR(VLOOKUP(C527,'Registre maintenance'!B:F,4,FALSE),"Non trouvé")</f>
        <v>23.902604</v>
      </c>
      <c r="J527" t="str">
        <f>IFERROR(VLOOKUP(C527,'Registre maintenance'!B:F,5,FALSE),"Non trouvé")</f>
        <v>3G</v>
      </c>
      <c r="K527" t="str">
        <f t="shared" si="78"/>
        <v>OK</v>
      </c>
    </row>
    <row r="528" spans="1:11" x14ac:dyDescent="0.3">
      <c r="A528" t="s">
        <v>1200</v>
      </c>
      <c r="B528" s="1">
        <v>45212.311111111107</v>
      </c>
      <c r="C528" t="s">
        <v>804</v>
      </c>
      <c r="D528">
        <v>79</v>
      </c>
      <c r="E528" t="s">
        <v>792</v>
      </c>
      <c r="F528" s="4" t="str">
        <f t="shared" ref="F528:F531" si="81">F527</f>
        <v>Kasai-Central</v>
      </c>
      <c r="G528" s="4" t="str">
        <f>IFERROR(VLOOKUP(C528,'Registre maintenance'!B:F,2,FALSE),"Non trouvé")</f>
        <v>Non trouvé</v>
      </c>
      <c r="H528" t="str">
        <f>IFERROR(VLOOKUP(C528,'Registre maintenance'!B:F,3,FALSE),"Non trouvé")</f>
        <v>Non trouvé</v>
      </c>
      <c r="I528" t="str">
        <f>IFERROR(VLOOKUP(C528,'Registre maintenance'!B:F,4,FALSE),"Non trouvé")</f>
        <v>Non trouvé</v>
      </c>
      <c r="J528" t="str">
        <f>IFERROR(VLOOKUP(C528,'Registre maintenance'!B:F,5,FALSE),"Non trouvé")</f>
        <v>Non trouvé</v>
      </c>
      <c r="K528" t="str">
        <f t="shared" si="78"/>
        <v>Mismatch</v>
      </c>
    </row>
    <row r="529" spans="1:11" x14ac:dyDescent="0.3">
      <c r="A529" t="s">
        <v>1200</v>
      </c>
      <c r="B529" s="1">
        <v>45224.347916666673</v>
      </c>
      <c r="C529" t="s">
        <v>1205</v>
      </c>
      <c r="D529">
        <v>14</v>
      </c>
      <c r="E529" t="s">
        <v>792</v>
      </c>
      <c r="F529" s="4" t="str">
        <f t="shared" si="81"/>
        <v>Kasai-Central</v>
      </c>
      <c r="G529" s="4" t="str">
        <f>IFERROR(VLOOKUP(C529,'Registre maintenance'!B:F,2,FALSE),"Non trouvé")</f>
        <v>Non trouvé</v>
      </c>
      <c r="H529" t="str">
        <f>IFERROR(VLOOKUP(C529,'Registre maintenance'!B:F,3,FALSE),"Non trouvé")</f>
        <v>Non trouvé</v>
      </c>
      <c r="I529" t="str">
        <f>IFERROR(VLOOKUP(C529,'Registre maintenance'!B:F,4,FALSE),"Non trouvé")</f>
        <v>Non trouvé</v>
      </c>
      <c r="J529" t="str">
        <f>IFERROR(VLOOKUP(C529,'Registre maintenance'!B:F,5,FALSE),"Non trouvé")</f>
        <v>Non trouvé</v>
      </c>
      <c r="K529" t="str">
        <f t="shared" si="78"/>
        <v>Mismatch</v>
      </c>
    </row>
    <row r="530" spans="1:11" x14ac:dyDescent="0.3">
      <c r="A530" t="s">
        <v>1200</v>
      </c>
      <c r="B530" s="1">
        <v>45209.781944444447</v>
      </c>
      <c r="C530" t="s">
        <v>1171</v>
      </c>
      <c r="D530">
        <v>10</v>
      </c>
      <c r="E530" t="s">
        <v>795</v>
      </c>
      <c r="F530" s="4" t="str">
        <f t="shared" si="81"/>
        <v>Kasai-Central</v>
      </c>
      <c r="G530" s="4" t="str">
        <f>IFERROR(VLOOKUP(C530,'Registre maintenance'!B:F,2,FALSE),"Non trouvé")</f>
        <v>Non trouvé</v>
      </c>
      <c r="H530" t="str">
        <f>IFERROR(VLOOKUP(C530,'Registre maintenance'!B:F,3,FALSE),"Non trouvé")</f>
        <v>Non trouvé</v>
      </c>
      <c r="I530" t="str">
        <f>IFERROR(VLOOKUP(C530,'Registre maintenance'!B:F,4,FALSE),"Non trouvé")</f>
        <v>Non trouvé</v>
      </c>
      <c r="J530" t="str">
        <f>IFERROR(VLOOKUP(C530,'Registre maintenance'!B:F,5,FALSE),"Non trouvé")</f>
        <v>Non trouvé</v>
      </c>
      <c r="K530" t="str">
        <f t="shared" si="78"/>
        <v>Mismatch</v>
      </c>
    </row>
    <row r="531" spans="1:11" x14ac:dyDescent="0.3">
      <c r="A531" t="s">
        <v>1200</v>
      </c>
      <c r="B531" s="1">
        <v>45218.011111111111</v>
      </c>
      <c r="C531" t="s">
        <v>1206</v>
      </c>
      <c r="D531">
        <v>59</v>
      </c>
      <c r="E531" t="s">
        <v>792</v>
      </c>
      <c r="F531" s="4" t="str">
        <f t="shared" si="81"/>
        <v>Kasai-Central</v>
      </c>
      <c r="G531" s="4" t="str">
        <f>IFERROR(VLOOKUP(C531,'Registre maintenance'!B:F,2,FALSE),"Non trouvé")</f>
        <v>Non trouvé</v>
      </c>
      <c r="H531" t="str">
        <f>IFERROR(VLOOKUP(C531,'Registre maintenance'!B:F,3,FALSE),"Non trouvé")</f>
        <v>Non trouvé</v>
      </c>
      <c r="I531" t="str">
        <f>IFERROR(VLOOKUP(C531,'Registre maintenance'!B:F,4,FALSE),"Non trouvé")</f>
        <v>Non trouvé</v>
      </c>
      <c r="J531" t="str">
        <f>IFERROR(VLOOKUP(C531,'Registre maintenance'!B:F,5,FALSE),"Non trouvé")</f>
        <v>Non trouvé</v>
      </c>
      <c r="K531" t="str">
        <f t="shared" si="78"/>
        <v>Mismatch</v>
      </c>
    </row>
    <row r="532" spans="1:11" x14ac:dyDescent="0.3">
      <c r="A532" t="s">
        <v>1200</v>
      </c>
      <c r="B532" s="1">
        <v>45220.488888888889</v>
      </c>
      <c r="C532" t="s">
        <v>880</v>
      </c>
      <c r="D532">
        <v>49</v>
      </c>
      <c r="E532" t="s">
        <v>797</v>
      </c>
      <c r="F532" s="4" t="s">
        <v>30</v>
      </c>
      <c r="G532" s="4" t="str">
        <f>IFERROR(VLOOKUP(C532,'Registre maintenance'!B:F,2,FALSE),"Non trouvé")</f>
        <v>Sud-Ubangi</v>
      </c>
      <c r="H532">
        <f>IFERROR(VLOOKUP(C532,'Registre maintenance'!B:F,3,FALSE),"Non trouvé")</f>
        <v>-9.3652239999999995</v>
      </c>
      <c r="I532">
        <f>IFERROR(VLOOKUP(C532,'Registre maintenance'!B:F,4,FALSE),"Non trouvé")</f>
        <v>22.593423999999999</v>
      </c>
      <c r="J532" t="str">
        <f>IFERROR(VLOOKUP(C532,'Registre maintenance'!B:F,5,FALSE),"Non trouvé")</f>
        <v>5G</v>
      </c>
      <c r="K532" t="str">
        <f t="shared" si="78"/>
        <v>OK</v>
      </c>
    </row>
    <row r="533" spans="1:11" x14ac:dyDescent="0.3">
      <c r="A533" t="s">
        <v>1200</v>
      </c>
      <c r="B533" s="1">
        <v>45207.070833333331</v>
      </c>
      <c r="C533" t="s">
        <v>1207</v>
      </c>
      <c r="D533">
        <v>94</v>
      </c>
      <c r="E533" t="s">
        <v>795</v>
      </c>
      <c r="F533" s="4" t="s">
        <v>59</v>
      </c>
      <c r="G533" s="4" t="str">
        <f>IFERROR(VLOOKUP(C533,'Registre maintenance'!B:F,2,FALSE),"Non trouvé")</f>
        <v>Equateur</v>
      </c>
      <c r="H533">
        <f>IFERROR(VLOOKUP(C533,'Registre maintenance'!B:F,3,FALSE),"Non trouvé")</f>
        <v>-1.1284540000000001</v>
      </c>
      <c r="I533">
        <f>IFERROR(VLOOKUP(C533,'Registre maintenance'!B:F,4,FALSE),"Non trouvé")</f>
        <v>23.000360000000001</v>
      </c>
      <c r="J533" t="str">
        <f>IFERROR(VLOOKUP(C533,'Registre maintenance'!B:F,5,FALSE),"Non trouvé")</f>
        <v>5G</v>
      </c>
      <c r="K533" t="str">
        <f t="shared" si="78"/>
        <v>OK</v>
      </c>
    </row>
    <row r="534" spans="1:11" x14ac:dyDescent="0.3">
      <c r="A534" t="s">
        <v>1200</v>
      </c>
      <c r="B534" s="1">
        <v>45203.59652777778</v>
      </c>
      <c r="C534" t="s">
        <v>1208</v>
      </c>
      <c r="D534">
        <v>13</v>
      </c>
      <c r="E534" t="s">
        <v>795</v>
      </c>
      <c r="F534" s="4" t="s">
        <v>12</v>
      </c>
      <c r="G534" s="4" t="str">
        <f>IFERROR(VLOOKUP(C534,'Registre maintenance'!B:F,2,FALSE),"Non trouvé")</f>
        <v>Tshuapa</v>
      </c>
      <c r="H534">
        <f>IFERROR(VLOOKUP(C534,'Registre maintenance'!B:F,3,FALSE),"Non trouvé")</f>
        <v>-1.9540519999999999</v>
      </c>
      <c r="I534">
        <f>IFERROR(VLOOKUP(C534,'Registre maintenance'!B:F,4,FALSE),"Non trouvé")</f>
        <v>12.667945</v>
      </c>
      <c r="J534" t="str">
        <f>IFERROR(VLOOKUP(C534,'Registre maintenance'!B:F,5,FALSE),"Non trouvé")</f>
        <v>4G</v>
      </c>
      <c r="K534" t="str">
        <f t="shared" si="78"/>
        <v>OK</v>
      </c>
    </row>
    <row r="535" spans="1:11" x14ac:dyDescent="0.3">
      <c r="A535" t="s">
        <v>1200</v>
      </c>
      <c r="B535" s="1">
        <v>45205.529861111107</v>
      </c>
      <c r="C535" t="s">
        <v>874</v>
      </c>
      <c r="D535">
        <v>74</v>
      </c>
      <c r="E535" t="s">
        <v>795</v>
      </c>
      <c r="F535" s="4" t="s">
        <v>15</v>
      </c>
      <c r="G535" s="4" t="str">
        <f>IFERROR(VLOOKUP(C535,'Registre maintenance'!B:F,2,FALSE),"Non trouvé")</f>
        <v>Mongala</v>
      </c>
      <c r="H535">
        <f>IFERROR(VLOOKUP(C535,'Registre maintenance'!B:F,3,FALSE),"Non trouvé")</f>
        <v>-11.514188000000001</v>
      </c>
      <c r="I535">
        <f>IFERROR(VLOOKUP(C535,'Registre maintenance'!B:F,4,FALSE),"Non trouvé")</f>
        <v>15.971181</v>
      </c>
      <c r="J535" t="str">
        <f>IFERROR(VLOOKUP(C535,'Registre maintenance'!B:F,5,FALSE),"Non trouvé")</f>
        <v>5G</v>
      </c>
      <c r="K535" t="str">
        <f t="shared" si="78"/>
        <v>OK</v>
      </c>
    </row>
    <row r="536" spans="1:11" x14ac:dyDescent="0.3">
      <c r="A536" t="s">
        <v>1200</v>
      </c>
      <c r="B536" s="1">
        <v>45216.950694444437</v>
      </c>
      <c r="C536" t="s">
        <v>793</v>
      </c>
      <c r="D536">
        <v>12</v>
      </c>
      <c r="E536" t="s">
        <v>792</v>
      </c>
      <c r="F536" s="4" t="str">
        <f>F535</f>
        <v>Mongala</v>
      </c>
      <c r="G536" s="4" t="str">
        <f>IFERROR(VLOOKUP(C536,'Registre maintenance'!B:F,2,FALSE),"Non trouvé")</f>
        <v>Non trouvé</v>
      </c>
      <c r="H536" t="str">
        <f>IFERROR(VLOOKUP(C536,'Registre maintenance'!B:F,3,FALSE),"Non trouvé")</f>
        <v>Non trouvé</v>
      </c>
      <c r="I536" t="str">
        <f>IFERROR(VLOOKUP(C536,'Registre maintenance'!B:F,4,FALSE),"Non trouvé")</f>
        <v>Non trouvé</v>
      </c>
      <c r="J536" t="str">
        <f>IFERROR(VLOOKUP(C536,'Registre maintenance'!B:F,5,FALSE),"Non trouvé")</f>
        <v>Non trouvé</v>
      </c>
      <c r="K536" t="str">
        <f t="shared" si="78"/>
        <v>Mismatch</v>
      </c>
    </row>
    <row r="537" spans="1:11" x14ac:dyDescent="0.3">
      <c r="A537" t="s">
        <v>1200</v>
      </c>
      <c r="B537" s="1">
        <v>45209.921527777777</v>
      </c>
      <c r="C537" t="s">
        <v>982</v>
      </c>
      <c r="D537">
        <v>119</v>
      </c>
      <c r="E537" t="s">
        <v>792</v>
      </c>
      <c r="F537" s="4" t="s">
        <v>25</v>
      </c>
      <c r="G537" s="4" t="str">
        <f>IFERROR(VLOOKUP(C537,'Registre maintenance'!B:F,2,FALSE),"Non trouvé")</f>
        <v>Bas-Uele</v>
      </c>
      <c r="H537">
        <f>IFERROR(VLOOKUP(C537,'Registre maintenance'!B:F,3,FALSE),"Non trouvé")</f>
        <v>1.5278670000000001</v>
      </c>
      <c r="I537">
        <f>IFERROR(VLOOKUP(C537,'Registre maintenance'!B:F,4,FALSE),"Non trouvé")</f>
        <v>13.899388999999999</v>
      </c>
      <c r="J537" t="str">
        <f>IFERROR(VLOOKUP(C537,'Registre maintenance'!B:F,5,FALSE),"Non trouvé")</f>
        <v>3G</v>
      </c>
      <c r="K537" t="str">
        <f t="shared" si="78"/>
        <v>OK</v>
      </c>
    </row>
    <row r="538" spans="1:11" x14ac:dyDescent="0.3">
      <c r="A538" t="s">
        <v>1200</v>
      </c>
      <c r="B538" s="1">
        <v>45220.390972222223</v>
      </c>
      <c r="C538" t="s">
        <v>1170</v>
      </c>
      <c r="D538">
        <v>13</v>
      </c>
      <c r="E538" t="s">
        <v>795</v>
      </c>
      <c r="F538" s="4" t="str">
        <f t="shared" ref="F538:F540" si="82">F537</f>
        <v>Bas-Uele</v>
      </c>
      <c r="G538" s="4" t="str">
        <f>IFERROR(VLOOKUP(C538,'Registre maintenance'!B:F,2,FALSE),"Non trouvé")</f>
        <v>Non trouvé</v>
      </c>
      <c r="H538" t="str">
        <f>IFERROR(VLOOKUP(C538,'Registre maintenance'!B:F,3,FALSE),"Non trouvé")</f>
        <v>Non trouvé</v>
      </c>
      <c r="I538" t="str">
        <f>IFERROR(VLOOKUP(C538,'Registre maintenance'!B:F,4,FALSE),"Non trouvé")</f>
        <v>Non trouvé</v>
      </c>
      <c r="J538" t="str">
        <f>IFERROR(VLOOKUP(C538,'Registre maintenance'!B:F,5,FALSE),"Non trouvé")</f>
        <v>Non trouvé</v>
      </c>
      <c r="K538" t="str">
        <f t="shared" si="78"/>
        <v>Mismatch</v>
      </c>
    </row>
    <row r="539" spans="1:11" x14ac:dyDescent="0.3">
      <c r="A539" t="s">
        <v>1200</v>
      </c>
      <c r="B539" s="1">
        <v>45219.301388888889</v>
      </c>
      <c r="C539" t="s">
        <v>810</v>
      </c>
      <c r="D539">
        <v>65</v>
      </c>
      <c r="E539" t="s">
        <v>792</v>
      </c>
      <c r="F539" s="4" t="str">
        <f t="shared" si="82"/>
        <v>Bas-Uele</v>
      </c>
      <c r="G539" s="4" t="str">
        <f>IFERROR(VLOOKUP(C539,'Registre maintenance'!B:F,2,FALSE),"Non trouvé")</f>
        <v>Non trouvé</v>
      </c>
      <c r="H539" t="str">
        <f>IFERROR(VLOOKUP(C539,'Registre maintenance'!B:F,3,FALSE),"Non trouvé")</f>
        <v>Non trouvé</v>
      </c>
      <c r="I539" t="str">
        <f>IFERROR(VLOOKUP(C539,'Registre maintenance'!B:F,4,FALSE),"Non trouvé")</f>
        <v>Non trouvé</v>
      </c>
      <c r="J539" t="str">
        <f>IFERROR(VLOOKUP(C539,'Registre maintenance'!B:F,5,FALSE),"Non trouvé")</f>
        <v>Non trouvé</v>
      </c>
      <c r="K539" t="str">
        <f t="shared" si="78"/>
        <v>Mismatch</v>
      </c>
    </row>
    <row r="540" spans="1:11" x14ac:dyDescent="0.3">
      <c r="A540" t="s">
        <v>1200</v>
      </c>
      <c r="B540" s="1">
        <v>45230.1875</v>
      </c>
      <c r="C540" t="s">
        <v>1209</v>
      </c>
      <c r="D540">
        <v>9</v>
      </c>
      <c r="E540" t="s">
        <v>797</v>
      </c>
      <c r="F540" s="4" t="str">
        <f t="shared" si="82"/>
        <v>Bas-Uele</v>
      </c>
      <c r="G540" s="4" t="str">
        <f>IFERROR(VLOOKUP(C540,'Registre maintenance'!B:F,2,FALSE),"Non trouvé")</f>
        <v>Non trouvé</v>
      </c>
      <c r="H540" t="str">
        <f>IFERROR(VLOOKUP(C540,'Registre maintenance'!B:F,3,FALSE),"Non trouvé")</f>
        <v>Non trouvé</v>
      </c>
      <c r="I540" t="str">
        <f>IFERROR(VLOOKUP(C540,'Registre maintenance'!B:F,4,FALSE),"Non trouvé")</f>
        <v>Non trouvé</v>
      </c>
      <c r="J540" t="str">
        <f>IFERROR(VLOOKUP(C540,'Registre maintenance'!B:F,5,FALSE),"Non trouvé")</f>
        <v>Non trouvé</v>
      </c>
      <c r="K540" t="str">
        <f t="shared" si="78"/>
        <v>Mismatch</v>
      </c>
    </row>
    <row r="541" spans="1:11" x14ac:dyDescent="0.3">
      <c r="A541" t="s">
        <v>1200</v>
      </c>
      <c r="B541" s="1">
        <v>45204.615972222222</v>
      </c>
      <c r="C541" t="s">
        <v>1210</v>
      </c>
      <c r="D541">
        <v>41</v>
      </c>
      <c r="E541" t="s">
        <v>797</v>
      </c>
      <c r="F541" s="4" t="s">
        <v>63</v>
      </c>
      <c r="G541" s="4" t="str">
        <f>IFERROR(VLOOKUP(C541,'Registre maintenance'!B:F,2,FALSE),"Non trouvé")</f>
        <v>Kinshasa</v>
      </c>
      <c r="H541">
        <f>IFERROR(VLOOKUP(C541,'Registre maintenance'!B:F,3,FALSE),"Non trouvé")</f>
        <v>1.3006180000000001</v>
      </c>
      <c r="I541">
        <f>IFERROR(VLOOKUP(C541,'Registre maintenance'!B:F,4,FALSE),"Non trouvé")</f>
        <v>29.060970999999999</v>
      </c>
      <c r="J541" t="str">
        <f>IFERROR(VLOOKUP(C541,'Registre maintenance'!B:F,5,FALSE),"Non trouvé")</f>
        <v>3G</v>
      </c>
      <c r="K541" t="str">
        <f t="shared" si="78"/>
        <v>OK</v>
      </c>
    </row>
    <row r="542" spans="1:11" x14ac:dyDescent="0.3">
      <c r="A542" t="s">
        <v>1200</v>
      </c>
      <c r="B542" s="1">
        <v>45219.476388888892</v>
      </c>
      <c r="C542" t="s">
        <v>799</v>
      </c>
      <c r="D542">
        <v>57</v>
      </c>
      <c r="E542" t="s">
        <v>792</v>
      </c>
      <c r="F542" s="4" t="s">
        <v>61</v>
      </c>
      <c r="G542" s="4" t="str">
        <f>IFERROR(VLOOKUP(C542,'Registre maintenance'!B:F,2,FALSE),"Non trouvé")</f>
        <v>Kongo-Central</v>
      </c>
      <c r="H542">
        <f>IFERROR(VLOOKUP(C542,'Registre maintenance'!B:F,3,FALSE),"Non trouvé")</f>
        <v>-2.8211520000000001</v>
      </c>
      <c r="I542">
        <f>IFERROR(VLOOKUP(C542,'Registre maintenance'!B:F,4,FALSE),"Non trouvé")</f>
        <v>20.651419000000001</v>
      </c>
      <c r="J542" t="str">
        <f>IFERROR(VLOOKUP(C542,'Registre maintenance'!B:F,5,FALSE),"Non trouvé")</f>
        <v>5G</v>
      </c>
      <c r="K542" t="str">
        <f t="shared" si="78"/>
        <v>OK</v>
      </c>
    </row>
    <row r="543" spans="1:11" x14ac:dyDescent="0.3">
      <c r="A543" t="s">
        <v>1200</v>
      </c>
      <c r="B543" s="1">
        <v>45222.748611111107</v>
      </c>
      <c r="C543" t="s">
        <v>1211</v>
      </c>
      <c r="D543">
        <v>28</v>
      </c>
      <c r="E543" t="s">
        <v>795</v>
      </c>
      <c r="F543" s="4" t="s">
        <v>23</v>
      </c>
      <c r="G543" s="4" t="str">
        <f>IFERROR(VLOOKUP(C543,'Registre maintenance'!B:F,2,FALSE),"Non trouvé")</f>
        <v>Haut-Katanga</v>
      </c>
      <c r="H543">
        <f>IFERROR(VLOOKUP(C543,'Registre maintenance'!B:F,3,FALSE),"Non trouvé")</f>
        <v>-11.468578000000001</v>
      </c>
      <c r="I543">
        <f>IFERROR(VLOOKUP(C543,'Registre maintenance'!B:F,4,FALSE),"Non trouvé")</f>
        <v>16.914501999999999</v>
      </c>
      <c r="J543" t="str">
        <f>IFERROR(VLOOKUP(C543,'Registre maintenance'!B:F,5,FALSE),"Non trouvé")</f>
        <v>4G</v>
      </c>
      <c r="K543" t="str">
        <f t="shared" si="78"/>
        <v>OK</v>
      </c>
    </row>
    <row r="544" spans="1:11" x14ac:dyDescent="0.3">
      <c r="A544" t="s">
        <v>1200</v>
      </c>
      <c r="B544" s="1">
        <v>45215.743750000001</v>
      </c>
      <c r="C544" t="s">
        <v>1212</v>
      </c>
      <c r="D544">
        <v>103</v>
      </c>
      <c r="E544" t="s">
        <v>792</v>
      </c>
      <c r="F544" s="4" t="str">
        <f>F543</f>
        <v>Haut-Katanga</v>
      </c>
      <c r="G544" s="4" t="str">
        <f>IFERROR(VLOOKUP(C544,'Registre maintenance'!B:F,2,FALSE),"Non trouvé")</f>
        <v>Non trouvé</v>
      </c>
      <c r="H544" t="str">
        <f>IFERROR(VLOOKUP(C544,'Registre maintenance'!B:F,3,FALSE),"Non trouvé")</f>
        <v>Non trouvé</v>
      </c>
      <c r="I544" t="str">
        <f>IFERROR(VLOOKUP(C544,'Registre maintenance'!B:F,4,FALSE),"Non trouvé")</f>
        <v>Non trouvé</v>
      </c>
      <c r="J544" t="str">
        <f>IFERROR(VLOOKUP(C544,'Registre maintenance'!B:F,5,FALSE),"Non trouvé")</f>
        <v>Non trouvé</v>
      </c>
      <c r="K544" t="str">
        <f t="shared" si="78"/>
        <v>Mismatch</v>
      </c>
    </row>
    <row r="545" spans="1:11" x14ac:dyDescent="0.3">
      <c r="A545" t="s">
        <v>1200</v>
      </c>
      <c r="B545" s="1">
        <v>45221.283333333333</v>
      </c>
      <c r="C545" t="s">
        <v>1213</v>
      </c>
      <c r="D545">
        <v>22</v>
      </c>
      <c r="E545" t="s">
        <v>792</v>
      </c>
      <c r="F545" s="4" t="s">
        <v>63</v>
      </c>
      <c r="G545" s="4" t="str">
        <f>IFERROR(VLOOKUP(C545,'Registre maintenance'!B:F,2,FALSE),"Non trouvé")</f>
        <v>Kinshasa</v>
      </c>
      <c r="H545">
        <f>IFERROR(VLOOKUP(C545,'Registre maintenance'!B:F,3,FALSE),"Non trouvé")</f>
        <v>-2.6665070000000002</v>
      </c>
      <c r="I545">
        <f>IFERROR(VLOOKUP(C545,'Registre maintenance'!B:F,4,FALSE),"Non trouvé")</f>
        <v>18.623692999999999</v>
      </c>
      <c r="J545" t="str">
        <f>IFERROR(VLOOKUP(C545,'Registre maintenance'!B:F,5,FALSE),"Non trouvé")</f>
        <v>3G</v>
      </c>
      <c r="K545" t="str">
        <f t="shared" si="78"/>
        <v>OK</v>
      </c>
    </row>
    <row r="546" spans="1:11" x14ac:dyDescent="0.3">
      <c r="A546" t="s">
        <v>1200</v>
      </c>
      <c r="B546" s="1">
        <v>45207.908333333333</v>
      </c>
      <c r="C546" t="s">
        <v>1214</v>
      </c>
      <c r="D546">
        <v>103</v>
      </c>
      <c r="E546" t="s">
        <v>792</v>
      </c>
      <c r="F546" s="4" t="str">
        <f t="shared" ref="F546:F547" si="83">F545</f>
        <v>Kinshasa</v>
      </c>
      <c r="G546" s="4" t="str">
        <f>IFERROR(VLOOKUP(C546,'Registre maintenance'!B:F,2,FALSE),"Non trouvé")</f>
        <v>Non trouvé</v>
      </c>
      <c r="H546" t="str">
        <f>IFERROR(VLOOKUP(C546,'Registre maintenance'!B:F,3,FALSE),"Non trouvé")</f>
        <v>Non trouvé</v>
      </c>
      <c r="I546" t="str">
        <f>IFERROR(VLOOKUP(C546,'Registre maintenance'!B:F,4,FALSE),"Non trouvé")</f>
        <v>Non trouvé</v>
      </c>
      <c r="J546" t="str">
        <f>IFERROR(VLOOKUP(C546,'Registre maintenance'!B:F,5,FALSE),"Non trouvé")</f>
        <v>Non trouvé</v>
      </c>
      <c r="K546" t="str">
        <f t="shared" si="78"/>
        <v>Mismatch</v>
      </c>
    </row>
    <row r="547" spans="1:11" x14ac:dyDescent="0.3">
      <c r="A547" t="s">
        <v>1200</v>
      </c>
      <c r="B547" s="1">
        <v>45219.106249999997</v>
      </c>
      <c r="C547" t="s">
        <v>1215</v>
      </c>
      <c r="D547">
        <v>87</v>
      </c>
      <c r="E547" t="s">
        <v>795</v>
      </c>
      <c r="F547" s="4" t="str">
        <f t="shared" si="83"/>
        <v>Kinshasa</v>
      </c>
      <c r="G547" s="4" t="str">
        <f>IFERROR(VLOOKUP(C547,'Registre maintenance'!B:F,2,FALSE),"Non trouvé")</f>
        <v>Non trouvé</v>
      </c>
      <c r="H547" t="str">
        <f>IFERROR(VLOOKUP(C547,'Registre maintenance'!B:F,3,FALSE),"Non trouvé")</f>
        <v>Non trouvé</v>
      </c>
      <c r="I547" t="str">
        <f>IFERROR(VLOOKUP(C547,'Registre maintenance'!B:F,4,FALSE),"Non trouvé")</f>
        <v>Non trouvé</v>
      </c>
      <c r="J547" t="str">
        <f>IFERROR(VLOOKUP(C547,'Registre maintenance'!B:F,5,FALSE),"Non trouvé")</f>
        <v>Non trouvé</v>
      </c>
      <c r="K547" t="str">
        <f t="shared" si="78"/>
        <v>Mismatch</v>
      </c>
    </row>
    <row r="548" spans="1:11" x14ac:dyDescent="0.3">
      <c r="A548" t="s">
        <v>1200</v>
      </c>
      <c r="B548" s="1">
        <v>45214.697916666657</v>
      </c>
      <c r="C548" t="s">
        <v>1216</v>
      </c>
      <c r="D548">
        <v>98</v>
      </c>
      <c r="E548" t="s">
        <v>797</v>
      </c>
      <c r="F548" s="4" t="s">
        <v>43</v>
      </c>
      <c r="G548" s="4" t="str">
        <f>IFERROR(VLOOKUP(C548,'Registre maintenance'!B:F,2,FALSE),"Non trouvé")</f>
        <v>Mai-Ndombe</v>
      </c>
      <c r="H548">
        <f>IFERROR(VLOOKUP(C548,'Registre maintenance'!B:F,3,FALSE),"Non trouvé")</f>
        <v>-12.192204</v>
      </c>
      <c r="I548">
        <f>IFERROR(VLOOKUP(C548,'Registre maintenance'!B:F,4,FALSE),"Non trouvé")</f>
        <v>28.468682000000001</v>
      </c>
      <c r="J548" t="str">
        <f>IFERROR(VLOOKUP(C548,'Registre maintenance'!B:F,5,FALSE),"Non trouvé")</f>
        <v>3G</v>
      </c>
      <c r="K548" t="str">
        <f t="shared" si="78"/>
        <v>OK</v>
      </c>
    </row>
    <row r="549" spans="1:11" x14ac:dyDescent="0.3">
      <c r="A549" t="s">
        <v>1200</v>
      </c>
      <c r="B549" s="1">
        <v>45211.123611111107</v>
      </c>
      <c r="C549" t="s">
        <v>908</v>
      </c>
      <c r="D549">
        <v>87</v>
      </c>
      <c r="E549" t="s">
        <v>792</v>
      </c>
      <c r="F549" s="4" t="str">
        <f t="shared" ref="F549:F551" si="84">F548</f>
        <v>Mai-Ndombe</v>
      </c>
      <c r="G549" s="4" t="str">
        <f>IFERROR(VLOOKUP(C549,'Registre maintenance'!B:F,2,FALSE),"Non trouvé")</f>
        <v>Non trouvé</v>
      </c>
      <c r="H549" t="str">
        <f>IFERROR(VLOOKUP(C549,'Registre maintenance'!B:F,3,FALSE),"Non trouvé")</f>
        <v>Non trouvé</v>
      </c>
      <c r="I549" t="str">
        <f>IFERROR(VLOOKUP(C549,'Registre maintenance'!B:F,4,FALSE),"Non trouvé")</f>
        <v>Non trouvé</v>
      </c>
      <c r="J549" t="str">
        <f>IFERROR(VLOOKUP(C549,'Registre maintenance'!B:F,5,FALSE),"Non trouvé")</f>
        <v>Non trouvé</v>
      </c>
      <c r="K549" t="str">
        <f t="shared" si="78"/>
        <v>Mismatch</v>
      </c>
    </row>
    <row r="550" spans="1:11" x14ac:dyDescent="0.3">
      <c r="A550" t="s">
        <v>1200</v>
      </c>
      <c r="B550" s="1">
        <v>45218.127083333333</v>
      </c>
      <c r="C550" t="s">
        <v>1067</v>
      </c>
      <c r="D550">
        <v>58</v>
      </c>
      <c r="E550" t="s">
        <v>795</v>
      </c>
      <c r="F550" s="4" t="str">
        <f t="shared" si="84"/>
        <v>Mai-Ndombe</v>
      </c>
      <c r="G550" s="4" t="str">
        <f>IFERROR(VLOOKUP(C550,'Registre maintenance'!B:F,2,FALSE),"Non trouvé")</f>
        <v>Non trouvé</v>
      </c>
      <c r="H550" t="str">
        <f>IFERROR(VLOOKUP(C550,'Registre maintenance'!B:F,3,FALSE),"Non trouvé")</f>
        <v>Non trouvé</v>
      </c>
      <c r="I550" t="str">
        <f>IFERROR(VLOOKUP(C550,'Registre maintenance'!B:F,4,FALSE),"Non trouvé")</f>
        <v>Non trouvé</v>
      </c>
      <c r="J550" t="str">
        <f>IFERROR(VLOOKUP(C550,'Registre maintenance'!B:F,5,FALSE),"Non trouvé")</f>
        <v>Non trouvé</v>
      </c>
      <c r="K550" t="str">
        <f t="shared" si="78"/>
        <v>Mismatch</v>
      </c>
    </row>
    <row r="551" spans="1:11" x14ac:dyDescent="0.3">
      <c r="A551" t="s">
        <v>1200</v>
      </c>
      <c r="B551" s="1">
        <v>45226.747916666667</v>
      </c>
      <c r="C551" t="s">
        <v>1217</v>
      </c>
      <c r="D551">
        <v>52</v>
      </c>
      <c r="E551" t="s">
        <v>795</v>
      </c>
      <c r="F551" s="4" t="str">
        <f t="shared" si="84"/>
        <v>Mai-Ndombe</v>
      </c>
      <c r="G551" s="4" t="str">
        <f>IFERROR(VLOOKUP(C551,'Registre maintenance'!B:F,2,FALSE),"Non trouvé")</f>
        <v>Non trouvé</v>
      </c>
      <c r="H551" t="str">
        <f>IFERROR(VLOOKUP(C551,'Registre maintenance'!B:F,3,FALSE),"Non trouvé")</f>
        <v>Non trouvé</v>
      </c>
      <c r="I551" t="str">
        <f>IFERROR(VLOOKUP(C551,'Registre maintenance'!B:F,4,FALSE),"Non trouvé")</f>
        <v>Non trouvé</v>
      </c>
      <c r="J551" t="str">
        <f>IFERROR(VLOOKUP(C551,'Registre maintenance'!B:F,5,FALSE),"Non trouvé")</f>
        <v>Non trouvé</v>
      </c>
      <c r="K551" t="str">
        <f t="shared" si="78"/>
        <v>Mismatch</v>
      </c>
    </row>
    <row r="552" spans="1:11" x14ac:dyDescent="0.3">
      <c r="A552" t="s">
        <v>1200</v>
      </c>
      <c r="B552" s="1">
        <v>45216.275000000001</v>
      </c>
      <c r="C552" t="s">
        <v>1218</v>
      </c>
      <c r="D552">
        <v>119</v>
      </c>
      <c r="E552" t="s">
        <v>797</v>
      </c>
      <c r="F552" s="4" t="s">
        <v>20</v>
      </c>
      <c r="G552" s="4" t="str">
        <f>IFERROR(VLOOKUP(C552,'Registre maintenance'!B:F,2,FALSE),"Non trouvé")</f>
        <v>Sud-Kivu</v>
      </c>
      <c r="H552">
        <f>IFERROR(VLOOKUP(C552,'Registre maintenance'!B:F,3,FALSE),"Non trouvé")</f>
        <v>2.4414509999999998</v>
      </c>
      <c r="I552">
        <f>IFERROR(VLOOKUP(C552,'Registre maintenance'!B:F,4,FALSE),"Non trouvé")</f>
        <v>30.167489</v>
      </c>
      <c r="J552" t="str">
        <f>IFERROR(VLOOKUP(C552,'Registre maintenance'!B:F,5,FALSE),"Non trouvé")</f>
        <v>5G</v>
      </c>
      <c r="K552" t="str">
        <f t="shared" si="78"/>
        <v>OK</v>
      </c>
    </row>
    <row r="553" spans="1:11" x14ac:dyDescent="0.3">
      <c r="A553" t="s">
        <v>1200</v>
      </c>
      <c r="B553" s="1">
        <v>45217.173611111109</v>
      </c>
      <c r="C553" t="s">
        <v>926</v>
      </c>
      <c r="D553">
        <v>53</v>
      </c>
      <c r="E553" t="s">
        <v>795</v>
      </c>
      <c r="F553" s="4" t="s">
        <v>63</v>
      </c>
      <c r="G553" s="4" t="str">
        <f>IFERROR(VLOOKUP(C553,'Registre maintenance'!B:F,2,FALSE),"Non trouvé")</f>
        <v>Kinshasa</v>
      </c>
      <c r="H553">
        <f>IFERROR(VLOOKUP(C553,'Registre maintenance'!B:F,3,FALSE),"Non trouvé")</f>
        <v>-1.6097570000000001</v>
      </c>
      <c r="I553">
        <f>IFERROR(VLOOKUP(C553,'Registre maintenance'!B:F,4,FALSE),"Non trouvé")</f>
        <v>30.661662</v>
      </c>
      <c r="J553" t="str">
        <f>IFERROR(VLOOKUP(C553,'Registre maintenance'!B:F,5,FALSE),"Non trouvé")</f>
        <v>4G</v>
      </c>
      <c r="K553" t="str">
        <f t="shared" si="78"/>
        <v>OK</v>
      </c>
    </row>
    <row r="554" spans="1:11" x14ac:dyDescent="0.3">
      <c r="A554" t="s">
        <v>1200</v>
      </c>
      <c r="B554" s="1">
        <v>45210.686111111107</v>
      </c>
      <c r="C554" t="s">
        <v>1219</v>
      </c>
      <c r="D554">
        <v>62</v>
      </c>
      <c r="E554" t="s">
        <v>795</v>
      </c>
      <c r="F554" s="4" t="s">
        <v>87</v>
      </c>
      <c r="G554" s="4" t="str">
        <f>IFERROR(VLOOKUP(C554,'Registre maintenance'!B:F,2,FALSE),"Non trouvé")</f>
        <v>Nord-Ubangi</v>
      </c>
      <c r="H554">
        <f>IFERROR(VLOOKUP(C554,'Registre maintenance'!B:F,3,FALSE),"Non trouvé")</f>
        <v>8.5490999999999998E-2</v>
      </c>
      <c r="I554">
        <f>IFERROR(VLOOKUP(C554,'Registre maintenance'!B:F,4,FALSE),"Non trouvé")</f>
        <v>26.296129000000001</v>
      </c>
      <c r="J554" t="str">
        <f>IFERROR(VLOOKUP(C554,'Registre maintenance'!B:F,5,FALSE),"Non trouvé")</f>
        <v>3G</v>
      </c>
      <c r="K554" t="str">
        <f t="shared" si="78"/>
        <v>OK</v>
      </c>
    </row>
    <row r="555" spans="1:11" x14ac:dyDescent="0.3">
      <c r="A555" t="s">
        <v>1200</v>
      </c>
      <c r="B555" s="1">
        <v>45203.884027777778</v>
      </c>
      <c r="C555" t="s">
        <v>1220</v>
      </c>
      <c r="D555">
        <v>116</v>
      </c>
      <c r="E555" t="s">
        <v>795</v>
      </c>
      <c r="F555" s="4" t="str">
        <f t="shared" ref="F555:F561" si="85">F554</f>
        <v>Nord-Ubangi</v>
      </c>
      <c r="G555" s="4" t="str">
        <f>IFERROR(VLOOKUP(C555,'Registre maintenance'!B:F,2,FALSE),"Non trouvé")</f>
        <v>Non trouvé</v>
      </c>
      <c r="H555" t="str">
        <f>IFERROR(VLOOKUP(C555,'Registre maintenance'!B:F,3,FALSE),"Non trouvé")</f>
        <v>Non trouvé</v>
      </c>
      <c r="I555" t="str">
        <f>IFERROR(VLOOKUP(C555,'Registre maintenance'!B:F,4,FALSE),"Non trouvé")</f>
        <v>Non trouvé</v>
      </c>
      <c r="J555" t="str">
        <f>IFERROR(VLOOKUP(C555,'Registre maintenance'!B:F,5,FALSE),"Non trouvé")</f>
        <v>Non trouvé</v>
      </c>
      <c r="K555" t="str">
        <f t="shared" si="78"/>
        <v>Mismatch</v>
      </c>
    </row>
    <row r="556" spans="1:11" x14ac:dyDescent="0.3">
      <c r="A556" t="s">
        <v>1200</v>
      </c>
      <c r="B556" s="1">
        <v>45222.771527777782</v>
      </c>
      <c r="C556" t="s">
        <v>798</v>
      </c>
      <c r="D556">
        <v>53</v>
      </c>
      <c r="E556" t="s">
        <v>797</v>
      </c>
      <c r="F556" s="4" t="str">
        <f t="shared" si="85"/>
        <v>Nord-Ubangi</v>
      </c>
      <c r="G556" s="4" t="str">
        <f>IFERROR(VLOOKUP(C556,'Registre maintenance'!B:F,2,FALSE),"Non trouvé")</f>
        <v>Non trouvé</v>
      </c>
      <c r="H556" t="str">
        <f>IFERROR(VLOOKUP(C556,'Registre maintenance'!B:F,3,FALSE),"Non trouvé")</f>
        <v>Non trouvé</v>
      </c>
      <c r="I556" t="str">
        <f>IFERROR(VLOOKUP(C556,'Registre maintenance'!B:F,4,FALSE),"Non trouvé")</f>
        <v>Non trouvé</v>
      </c>
      <c r="J556" t="str">
        <f>IFERROR(VLOOKUP(C556,'Registre maintenance'!B:F,5,FALSE),"Non trouvé")</f>
        <v>Non trouvé</v>
      </c>
      <c r="K556" t="str">
        <f t="shared" si="78"/>
        <v>Mismatch</v>
      </c>
    </row>
    <row r="557" spans="1:11" x14ac:dyDescent="0.3">
      <c r="A557" t="s">
        <v>1200</v>
      </c>
      <c r="B557" s="1">
        <v>45202.686111111107</v>
      </c>
      <c r="C557" t="s">
        <v>1221</v>
      </c>
      <c r="D557">
        <v>53</v>
      </c>
      <c r="E557" t="s">
        <v>792</v>
      </c>
      <c r="F557" s="4" t="str">
        <f t="shared" si="85"/>
        <v>Nord-Ubangi</v>
      </c>
      <c r="G557" s="4" t="str">
        <f>IFERROR(VLOOKUP(C557,'Registre maintenance'!B:F,2,FALSE),"Non trouvé")</f>
        <v>Non trouvé</v>
      </c>
      <c r="H557" t="str">
        <f>IFERROR(VLOOKUP(C557,'Registre maintenance'!B:F,3,FALSE),"Non trouvé")</f>
        <v>Non trouvé</v>
      </c>
      <c r="I557" t="str">
        <f>IFERROR(VLOOKUP(C557,'Registre maintenance'!B:F,4,FALSE),"Non trouvé")</f>
        <v>Non trouvé</v>
      </c>
      <c r="J557" t="str">
        <f>IFERROR(VLOOKUP(C557,'Registre maintenance'!B:F,5,FALSE),"Non trouvé")</f>
        <v>Non trouvé</v>
      </c>
      <c r="K557" t="str">
        <f t="shared" si="78"/>
        <v>Mismatch</v>
      </c>
    </row>
    <row r="558" spans="1:11" x14ac:dyDescent="0.3">
      <c r="A558" t="s">
        <v>1200</v>
      </c>
      <c r="B558" s="1">
        <v>45225.061805555553</v>
      </c>
      <c r="C558" t="s">
        <v>1222</v>
      </c>
      <c r="D558">
        <v>15</v>
      </c>
      <c r="E558" t="s">
        <v>797</v>
      </c>
      <c r="F558" s="4" t="str">
        <f t="shared" si="85"/>
        <v>Nord-Ubangi</v>
      </c>
      <c r="G558" s="4" t="str">
        <f>IFERROR(VLOOKUP(C558,'Registre maintenance'!B:F,2,FALSE),"Non trouvé")</f>
        <v>Non trouvé</v>
      </c>
      <c r="H558" t="str">
        <f>IFERROR(VLOOKUP(C558,'Registre maintenance'!B:F,3,FALSE),"Non trouvé")</f>
        <v>Non trouvé</v>
      </c>
      <c r="I558" t="str">
        <f>IFERROR(VLOOKUP(C558,'Registre maintenance'!B:F,4,FALSE),"Non trouvé")</f>
        <v>Non trouvé</v>
      </c>
      <c r="J558" t="str">
        <f>IFERROR(VLOOKUP(C558,'Registre maintenance'!B:F,5,FALSE),"Non trouvé")</f>
        <v>Non trouvé</v>
      </c>
      <c r="K558" t="str">
        <f t="shared" si="78"/>
        <v>Mismatch</v>
      </c>
    </row>
    <row r="559" spans="1:11" x14ac:dyDescent="0.3">
      <c r="A559" t="s">
        <v>1200</v>
      </c>
      <c r="B559" s="1">
        <v>45204.68472222222</v>
      </c>
      <c r="C559" t="s">
        <v>1223</v>
      </c>
      <c r="D559">
        <v>92</v>
      </c>
      <c r="E559" t="s">
        <v>792</v>
      </c>
      <c r="F559" s="4" t="str">
        <f t="shared" si="85"/>
        <v>Nord-Ubangi</v>
      </c>
      <c r="G559" s="4" t="str">
        <f>IFERROR(VLOOKUP(C559,'Registre maintenance'!B:F,2,FALSE),"Non trouvé")</f>
        <v>Non trouvé</v>
      </c>
      <c r="H559" t="str">
        <f>IFERROR(VLOOKUP(C559,'Registre maintenance'!B:F,3,FALSE),"Non trouvé")</f>
        <v>Non trouvé</v>
      </c>
      <c r="I559" t="str">
        <f>IFERROR(VLOOKUP(C559,'Registre maintenance'!B:F,4,FALSE),"Non trouvé")</f>
        <v>Non trouvé</v>
      </c>
      <c r="J559" t="str">
        <f>IFERROR(VLOOKUP(C559,'Registre maintenance'!B:F,5,FALSE),"Non trouvé")</f>
        <v>Non trouvé</v>
      </c>
      <c r="K559" t="str">
        <f t="shared" si="78"/>
        <v>Mismatch</v>
      </c>
    </row>
    <row r="560" spans="1:11" x14ac:dyDescent="0.3">
      <c r="A560" t="s">
        <v>1200</v>
      </c>
      <c r="B560" s="1">
        <v>45214.752083333333</v>
      </c>
      <c r="C560" t="s">
        <v>1224</v>
      </c>
      <c r="D560">
        <v>89</v>
      </c>
      <c r="E560" t="s">
        <v>795</v>
      </c>
      <c r="F560" s="4" t="str">
        <f t="shared" si="85"/>
        <v>Nord-Ubangi</v>
      </c>
      <c r="G560" s="4" t="str">
        <f>IFERROR(VLOOKUP(C560,'Registre maintenance'!B:F,2,FALSE),"Non trouvé")</f>
        <v>Non trouvé</v>
      </c>
      <c r="H560" t="str">
        <f>IFERROR(VLOOKUP(C560,'Registre maintenance'!B:F,3,FALSE),"Non trouvé")</f>
        <v>Non trouvé</v>
      </c>
      <c r="I560" t="str">
        <f>IFERROR(VLOOKUP(C560,'Registre maintenance'!B:F,4,FALSE),"Non trouvé")</f>
        <v>Non trouvé</v>
      </c>
      <c r="J560" t="str">
        <f>IFERROR(VLOOKUP(C560,'Registre maintenance'!B:F,5,FALSE),"Non trouvé")</f>
        <v>Non trouvé</v>
      </c>
      <c r="K560" t="str">
        <f t="shared" si="78"/>
        <v>Mismatch</v>
      </c>
    </row>
    <row r="561" spans="1:11" x14ac:dyDescent="0.3">
      <c r="A561" t="s">
        <v>1200</v>
      </c>
      <c r="B561" s="1">
        <v>45217.613194444442</v>
      </c>
      <c r="D561">
        <v>116</v>
      </c>
      <c r="E561" t="s">
        <v>795</v>
      </c>
      <c r="F561" s="4" t="str">
        <f t="shared" si="85"/>
        <v>Nord-Ubangi</v>
      </c>
      <c r="G561" s="4" t="str">
        <f>IFERROR(VLOOKUP(C561,'Registre maintenance'!B:F,2,FALSE),"Non trouvé")</f>
        <v>Non trouvé</v>
      </c>
      <c r="H561" t="str">
        <f>IFERROR(VLOOKUP(C561,'Registre maintenance'!B:F,3,FALSE),"Non trouvé")</f>
        <v>Non trouvé</v>
      </c>
      <c r="I561" t="str">
        <f>IFERROR(VLOOKUP(C561,'Registre maintenance'!B:F,4,FALSE),"Non trouvé")</f>
        <v>Non trouvé</v>
      </c>
      <c r="J561" t="str">
        <f>IFERROR(VLOOKUP(C561,'Registre maintenance'!B:F,5,FALSE),"Non trouvé")</f>
        <v>Non trouvé</v>
      </c>
      <c r="K561" t="str">
        <f t="shared" si="78"/>
        <v>Mismatch</v>
      </c>
    </row>
    <row r="562" spans="1:11" x14ac:dyDescent="0.3">
      <c r="A562" t="s">
        <v>1200</v>
      </c>
      <c r="B562" s="1">
        <v>45225.406944444447</v>
      </c>
      <c r="C562" t="s">
        <v>1225</v>
      </c>
      <c r="D562">
        <v>74</v>
      </c>
      <c r="E562" t="s">
        <v>792</v>
      </c>
      <c r="F562" s="4" t="s">
        <v>39</v>
      </c>
      <c r="G562" s="4" t="str">
        <f>IFERROR(VLOOKUP(C562,'Registre maintenance'!B:F,2,FALSE),"Non trouvé")</f>
        <v>Kwango</v>
      </c>
      <c r="H562">
        <f>IFERROR(VLOOKUP(C562,'Registre maintenance'!B:F,3,FALSE),"Non trouvé")</f>
        <v>-4.6957509999999996</v>
      </c>
      <c r="I562">
        <f>IFERROR(VLOOKUP(C562,'Registre maintenance'!B:F,4,FALSE),"Non trouvé")</f>
        <v>14.233525999999999</v>
      </c>
      <c r="J562" t="str">
        <f>IFERROR(VLOOKUP(C562,'Registre maintenance'!B:F,5,FALSE),"Non trouvé")</f>
        <v>4G</v>
      </c>
      <c r="K562" t="str">
        <f t="shared" si="78"/>
        <v>OK</v>
      </c>
    </row>
    <row r="563" spans="1:11" x14ac:dyDescent="0.3">
      <c r="A563" t="s">
        <v>1200</v>
      </c>
      <c r="B563" s="1">
        <v>45200.511111111111</v>
      </c>
      <c r="C563" t="s">
        <v>1226</v>
      </c>
      <c r="D563">
        <v>22</v>
      </c>
      <c r="E563" t="s">
        <v>797</v>
      </c>
      <c r="F563" s="4" t="s">
        <v>50</v>
      </c>
      <c r="G563" s="4" t="str">
        <f>IFERROR(VLOOKUP(C563,'Registre maintenance'!B:F,2,FALSE),"Non trouvé")</f>
        <v>Kwilu</v>
      </c>
      <c r="H563">
        <f>IFERROR(VLOOKUP(C563,'Registre maintenance'!B:F,3,FALSE),"Non trouvé")</f>
        <v>-10.939712999999999</v>
      </c>
      <c r="I563">
        <f>IFERROR(VLOOKUP(C563,'Registre maintenance'!B:F,4,FALSE),"Non trouvé")</f>
        <v>18.276230999999999</v>
      </c>
      <c r="J563" t="str">
        <f>IFERROR(VLOOKUP(C563,'Registre maintenance'!B:F,5,FALSE),"Non trouvé")</f>
        <v>4G</v>
      </c>
      <c r="K563" t="str">
        <f t="shared" si="78"/>
        <v>OK</v>
      </c>
    </row>
    <row r="564" spans="1:11" x14ac:dyDescent="0.3">
      <c r="A564" t="s">
        <v>1227</v>
      </c>
      <c r="B564" s="1">
        <v>45221.565972222219</v>
      </c>
      <c r="C564" t="s">
        <v>1228</v>
      </c>
      <c r="D564">
        <v>87</v>
      </c>
      <c r="E564" t="s">
        <v>795</v>
      </c>
      <c r="F564" s="4" t="s">
        <v>72</v>
      </c>
      <c r="G564" s="4" t="str">
        <f>IFERROR(VLOOKUP(C564,'Registre maintenance'!B:F,2,FALSE),"Non trouvé")</f>
        <v>Tshopo</v>
      </c>
      <c r="H564">
        <f>IFERROR(VLOOKUP(C564,'Registre maintenance'!B:F,3,FALSE),"Non trouvé")</f>
        <v>4.7777349999999998</v>
      </c>
      <c r="I564">
        <f>IFERROR(VLOOKUP(C564,'Registre maintenance'!B:F,4,FALSE),"Non trouvé")</f>
        <v>16.392204</v>
      </c>
      <c r="J564" t="str">
        <f>IFERROR(VLOOKUP(C564,'Registre maintenance'!B:F,5,FALSE),"Non trouvé")</f>
        <v>5G</v>
      </c>
      <c r="K564" t="str">
        <f t="shared" si="78"/>
        <v>OK</v>
      </c>
    </row>
    <row r="565" spans="1:11" x14ac:dyDescent="0.3">
      <c r="A565" t="s">
        <v>1227</v>
      </c>
      <c r="B565" s="1">
        <v>45215.056944444441</v>
      </c>
      <c r="C565" t="s">
        <v>1213</v>
      </c>
      <c r="D565">
        <v>99</v>
      </c>
      <c r="E565" t="s">
        <v>795</v>
      </c>
      <c r="F565" s="4" t="s">
        <v>63</v>
      </c>
      <c r="G565" s="4" t="str">
        <f>IFERROR(VLOOKUP(C565,'Registre maintenance'!B:F,2,FALSE),"Non trouvé")</f>
        <v>Kinshasa</v>
      </c>
      <c r="H565">
        <f>IFERROR(VLOOKUP(C565,'Registre maintenance'!B:F,3,FALSE),"Non trouvé")</f>
        <v>-2.6665070000000002</v>
      </c>
      <c r="I565">
        <f>IFERROR(VLOOKUP(C565,'Registre maintenance'!B:F,4,FALSE),"Non trouvé")</f>
        <v>18.623692999999999</v>
      </c>
      <c r="J565" t="str">
        <f>IFERROR(VLOOKUP(C565,'Registre maintenance'!B:F,5,FALSE),"Non trouvé")</f>
        <v>3G</v>
      </c>
      <c r="K565" t="str">
        <f t="shared" si="78"/>
        <v>OK</v>
      </c>
    </row>
    <row r="566" spans="1:11" x14ac:dyDescent="0.3">
      <c r="A566" t="s">
        <v>1227</v>
      </c>
      <c r="B566" s="1">
        <v>45230.862500000003</v>
      </c>
      <c r="C566" t="s">
        <v>861</v>
      </c>
      <c r="D566">
        <v>67</v>
      </c>
      <c r="E566" t="s">
        <v>792</v>
      </c>
      <c r="F566" s="4" t="s">
        <v>36</v>
      </c>
      <c r="G566" s="4" t="str">
        <f>IFERROR(VLOOKUP(C566,'Registre maintenance'!B:F,2,FALSE),"Non trouvé")</f>
        <v>Tanganyika</v>
      </c>
      <c r="H566">
        <f>IFERROR(VLOOKUP(C566,'Registre maintenance'!B:F,3,FALSE),"Non trouvé")</f>
        <v>-2.099631</v>
      </c>
      <c r="I566">
        <f>IFERROR(VLOOKUP(C566,'Registre maintenance'!B:F,4,FALSE),"Non trouvé")</f>
        <v>13.974640000000001</v>
      </c>
      <c r="J566" t="str">
        <f>IFERROR(VLOOKUP(C566,'Registre maintenance'!B:F,5,FALSE),"Non trouvé")</f>
        <v>3G</v>
      </c>
      <c r="K566" t="str">
        <f t="shared" si="78"/>
        <v>OK</v>
      </c>
    </row>
    <row r="567" spans="1:11" x14ac:dyDescent="0.3">
      <c r="A567" t="s">
        <v>1227</v>
      </c>
      <c r="B567" s="1">
        <v>45212.680555555547</v>
      </c>
      <c r="C567" t="s">
        <v>1229</v>
      </c>
      <c r="D567">
        <v>63</v>
      </c>
      <c r="E567" t="s">
        <v>792</v>
      </c>
      <c r="F567" s="4" t="str">
        <f t="shared" ref="F567:F569" si="86">F566</f>
        <v>Tanganyika</v>
      </c>
      <c r="G567" s="4" t="str">
        <f>IFERROR(VLOOKUP(C567,'Registre maintenance'!B:F,2,FALSE),"Non trouvé")</f>
        <v>Non trouvé</v>
      </c>
      <c r="H567" t="str">
        <f>IFERROR(VLOOKUP(C567,'Registre maintenance'!B:F,3,FALSE),"Non trouvé")</f>
        <v>Non trouvé</v>
      </c>
      <c r="I567" t="str">
        <f>IFERROR(VLOOKUP(C567,'Registre maintenance'!B:F,4,FALSE),"Non trouvé")</f>
        <v>Non trouvé</v>
      </c>
      <c r="J567" t="str">
        <f>IFERROR(VLOOKUP(C567,'Registre maintenance'!B:F,5,FALSE),"Non trouvé")</f>
        <v>Non trouvé</v>
      </c>
      <c r="K567" t="str">
        <f t="shared" si="78"/>
        <v>Mismatch</v>
      </c>
    </row>
    <row r="568" spans="1:11" x14ac:dyDescent="0.3">
      <c r="A568" t="s">
        <v>1227</v>
      </c>
      <c r="B568" s="1">
        <v>45222.55972222222</v>
      </c>
      <c r="C568" t="s">
        <v>1230</v>
      </c>
      <c r="D568">
        <v>26</v>
      </c>
      <c r="E568" t="s">
        <v>797</v>
      </c>
      <c r="F568" s="4" t="str">
        <f t="shared" si="86"/>
        <v>Tanganyika</v>
      </c>
      <c r="G568" s="4" t="str">
        <f>IFERROR(VLOOKUP(C568,'Registre maintenance'!B:F,2,FALSE),"Non trouvé")</f>
        <v>Non trouvé</v>
      </c>
      <c r="H568" t="str">
        <f>IFERROR(VLOOKUP(C568,'Registre maintenance'!B:F,3,FALSE),"Non trouvé")</f>
        <v>Non trouvé</v>
      </c>
      <c r="I568" t="str">
        <f>IFERROR(VLOOKUP(C568,'Registre maintenance'!B:F,4,FALSE),"Non trouvé")</f>
        <v>Non trouvé</v>
      </c>
      <c r="J568" t="str">
        <f>IFERROR(VLOOKUP(C568,'Registre maintenance'!B:F,5,FALSE),"Non trouvé")</f>
        <v>Non trouvé</v>
      </c>
      <c r="K568" t="str">
        <f t="shared" si="78"/>
        <v>Mismatch</v>
      </c>
    </row>
    <row r="569" spans="1:11" x14ac:dyDescent="0.3">
      <c r="A569" t="s">
        <v>1227</v>
      </c>
      <c r="B569" s="1">
        <v>45204.39166666667</v>
      </c>
      <c r="C569" t="s">
        <v>944</v>
      </c>
      <c r="D569">
        <v>98</v>
      </c>
      <c r="E569" t="s">
        <v>797</v>
      </c>
      <c r="F569" s="4" t="str">
        <f t="shared" si="86"/>
        <v>Tanganyika</v>
      </c>
      <c r="G569" s="4" t="str">
        <f>IFERROR(VLOOKUP(C569,'Registre maintenance'!B:F,2,FALSE),"Non trouvé")</f>
        <v>Non trouvé</v>
      </c>
      <c r="H569" t="str">
        <f>IFERROR(VLOOKUP(C569,'Registre maintenance'!B:F,3,FALSE),"Non trouvé")</f>
        <v>Non trouvé</v>
      </c>
      <c r="I569" t="str">
        <f>IFERROR(VLOOKUP(C569,'Registre maintenance'!B:F,4,FALSE),"Non trouvé")</f>
        <v>Non trouvé</v>
      </c>
      <c r="J569" t="str">
        <f>IFERROR(VLOOKUP(C569,'Registre maintenance'!B:F,5,FALSE),"Non trouvé")</f>
        <v>Non trouvé</v>
      </c>
      <c r="K569" t="str">
        <f t="shared" si="78"/>
        <v>Mismatch</v>
      </c>
    </row>
    <row r="570" spans="1:11" x14ac:dyDescent="0.3">
      <c r="A570" t="s">
        <v>1227</v>
      </c>
      <c r="B570" s="1">
        <v>45205.729166666657</v>
      </c>
      <c r="C570" t="s">
        <v>1231</v>
      </c>
      <c r="D570">
        <v>106</v>
      </c>
      <c r="E570" t="s">
        <v>797</v>
      </c>
      <c r="F570" s="4" t="s">
        <v>23</v>
      </c>
      <c r="G570" s="4" t="str">
        <f>IFERROR(VLOOKUP(C570,'Registre maintenance'!B:F,2,FALSE),"Non trouvé")</f>
        <v>Haut-Katanga</v>
      </c>
      <c r="H570">
        <f>IFERROR(VLOOKUP(C570,'Registre maintenance'!B:F,3,FALSE),"Non trouvé")</f>
        <v>-4.4958720000000003</v>
      </c>
      <c r="I570">
        <f>IFERROR(VLOOKUP(C570,'Registre maintenance'!B:F,4,FALSE),"Non trouvé")</f>
        <v>18.514112000000001</v>
      </c>
      <c r="J570" t="str">
        <f>IFERROR(VLOOKUP(C570,'Registre maintenance'!B:F,5,FALSE),"Non trouvé")</f>
        <v>4G</v>
      </c>
      <c r="K570" t="str">
        <f t="shared" si="78"/>
        <v>OK</v>
      </c>
    </row>
    <row r="571" spans="1:11" x14ac:dyDescent="0.3">
      <c r="A571" t="s">
        <v>1227</v>
      </c>
      <c r="B571" s="1">
        <v>45207.304861111108</v>
      </c>
      <c r="C571" t="s">
        <v>796</v>
      </c>
      <c r="D571">
        <v>50</v>
      </c>
      <c r="E571" t="s">
        <v>795</v>
      </c>
      <c r="F571" s="4" t="str">
        <f t="shared" ref="F571:F572" si="87">F570</f>
        <v>Haut-Katanga</v>
      </c>
      <c r="G571" s="4" t="str">
        <f>IFERROR(VLOOKUP(C571,'Registre maintenance'!B:F,2,FALSE),"Non trouvé")</f>
        <v>Non trouvé</v>
      </c>
      <c r="H571" t="str">
        <f>IFERROR(VLOOKUP(C571,'Registre maintenance'!B:F,3,FALSE),"Non trouvé")</f>
        <v>Non trouvé</v>
      </c>
      <c r="I571" t="str">
        <f>IFERROR(VLOOKUP(C571,'Registre maintenance'!B:F,4,FALSE),"Non trouvé")</f>
        <v>Non trouvé</v>
      </c>
      <c r="J571" t="str">
        <f>IFERROR(VLOOKUP(C571,'Registre maintenance'!B:F,5,FALSE),"Non trouvé")</f>
        <v>Non trouvé</v>
      </c>
      <c r="K571" t="str">
        <f t="shared" si="78"/>
        <v>Mismatch</v>
      </c>
    </row>
    <row r="572" spans="1:11" x14ac:dyDescent="0.3">
      <c r="A572" t="s">
        <v>1227</v>
      </c>
      <c r="B572" s="1">
        <v>45227.92291666667</v>
      </c>
      <c r="C572" t="s">
        <v>916</v>
      </c>
      <c r="D572">
        <v>26</v>
      </c>
      <c r="E572" t="s">
        <v>797</v>
      </c>
      <c r="F572" s="4" t="str">
        <f t="shared" si="87"/>
        <v>Haut-Katanga</v>
      </c>
      <c r="G572" s="4" t="str">
        <f>IFERROR(VLOOKUP(C572,'Registre maintenance'!B:F,2,FALSE),"Non trouvé")</f>
        <v>Non trouvé</v>
      </c>
      <c r="H572" t="str">
        <f>IFERROR(VLOOKUP(C572,'Registre maintenance'!B:F,3,FALSE),"Non trouvé")</f>
        <v>Non trouvé</v>
      </c>
      <c r="I572" t="str">
        <f>IFERROR(VLOOKUP(C572,'Registre maintenance'!B:F,4,FALSE),"Non trouvé")</f>
        <v>Non trouvé</v>
      </c>
      <c r="J572" t="str">
        <f>IFERROR(VLOOKUP(C572,'Registre maintenance'!B:F,5,FALSE),"Non trouvé")</f>
        <v>Non trouvé</v>
      </c>
      <c r="K572" t="str">
        <f t="shared" si="78"/>
        <v>Mismatch</v>
      </c>
    </row>
    <row r="573" spans="1:11" x14ac:dyDescent="0.3">
      <c r="A573" t="s">
        <v>1227</v>
      </c>
      <c r="B573" s="1">
        <v>45225.623611111107</v>
      </c>
      <c r="C573" t="s">
        <v>1232</v>
      </c>
      <c r="D573">
        <v>22</v>
      </c>
      <c r="E573" t="s">
        <v>792</v>
      </c>
      <c r="F573" s="4" t="s">
        <v>43</v>
      </c>
      <c r="G573" s="4" t="str">
        <f>IFERROR(VLOOKUP(C573,'Registre maintenance'!B:F,2,FALSE),"Non trouvé")</f>
        <v>Mai-Ndombe</v>
      </c>
      <c r="H573">
        <f>IFERROR(VLOOKUP(C573,'Registre maintenance'!B:F,3,FALSE),"Non trouvé")</f>
        <v>-0.47411900000000001</v>
      </c>
      <c r="I573">
        <f>IFERROR(VLOOKUP(C573,'Registre maintenance'!B:F,4,FALSE),"Non trouvé")</f>
        <v>27.184329000000002</v>
      </c>
      <c r="J573" t="str">
        <f>IFERROR(VLOOKUP(C573,'Registre maintenance'!B:F,5,FALSE),"Non trouvé")</f>
        <v>5G</v>
      </c>
      <c r="K573" t="str">
        <f t="shared" si="78"/>
        <v>OK</v>
      </c>
    </row>
    <row r="574" spans="1:11" x14ac:dyDescent="0.3">
      <c r="A574" t="s">
        <v>1227</v>
      </c>
      <c r="B574" s="1">
        <v>45201.726388888892</v>
      </c>
      <c r="C574" t="s">
        <v>1233</v>
      </c>
      <c r="D574">
        <v>97</v>
      </c>
      <c r="E574" t="s">
        <v>795</v>
      </c>
      <c r="F574" s="4" t="s">
        <v>56</v>
      </c>
      <c r="G574" s="4" t="str">
        <f>IFERROR(VLOOKUP(C574,'Registre maintenance'!B:F,2,FALSE),"Non trouvé")</f>
        <v>Kasai-Oriental</v>
      </c>
      <c r="H574">
        <f>IFERROR(VLOOKUP(C574,'Registre maintenance'!B:F,3,FALSE),"Non trouvé")</f>
        <v>-4.3639070000000002</v>
      </c>
      <c r="I574">
        <f>IFERROR(VLOOKUP(C574,'Registre maintenance'!B:F,4,FALSE),"Non trouvé")</f>
        <v>16.283307000000001</v>
      </c>
      <c r="J574" t="str">
        <f>IFERROR(VLOOKUP(C574,'Registre maintenance'!B:F,5,FALSE),"Non trouvé")</f>
        <v>5G</v>
      </c>
      <c r="K574" t="str">
        <f t="shared" si="78"/>
        <v>OK</v>
      </c>
    </row>
    <row r="575" spans="1:11" x14ac:dyDescent="0.3">
      <c r="A575" t="s">
        <v>1227</v>
      </c>
      <c r="B575" s="1">
        <v>45230.565972222219</v>
      </c>
      <c r="C575" t="s">
        <v>944</v>
      </c>
      <c r="D575">
        <v>74</v>
      </c>
      <c r="E575" t="s">
        <v>792</v>
      </c>
      <c r="F575" s="4" t="str">
        <f>F574</f>
        <v>Kasai-Oriental</v>
      </c>
      <c r="G575" s="4" t="str">
        <f>IFERROR(VLOOKUP(C575,'Registre maintenance'!B:F,2,FALSE),"Non trouvé")</f>
        <v>Non trouvé</v>
      </c>
      <c r="H575" t="str">
        <f>IFERROR(VLOOKUP(C575,'Registre maintenance'!B:F,3,FALSE),"Non trouvé")</f>
        <v>Non trouvé</v>
      </c>
      <c r="I575" t="str">
        <f>IFERROR(VLOOKUP(C575,'Registre maintenance'!B:F,4,FALSE),"Non trouvé")</f>
        <v>Non trouvé</v>
      </c>
      <c r="J575" t="str">
        <f>IFERROR(VLOOKUP(C575,'Registre maintenance'!B:F,5,FALSE),"Non trouvé")</f>
        <v>Non trouvé</v>
      </c>
      <c r="K575" t="str">
        <f t="shared" si="78"/>
        <v>Mismatch</v>
      </c>
    </row>
    <row r="576" spans="1:11" x14ac:dyDescent="0.3">
      <c r="A576" t="s">
        <v>1227</v>
      </c>
      <c r="B576" s="1">
        <v>45216.183333333327</v>
      </c>
      <c r="C576" t="s">
        <v>1098</v>
      </c>
      <c r="D576">
        <v>67</v>
      </c>
      <c r="E576" t="s">
        <v>795</v>
      </c>
      <c r="F576" s="4" t="s">
        <v>135</v>
      </c>
      <c r="G576" s="4" t="str">
        <f>IFERROR(VLOOKUP(C576,'Registre maintenance'!B:F,2,FALSE),"Non trouvé")</f>
        <v>Lualaba</v>
      </c>
      <c r="H576">
        <f>IFERROR(VLOOKUP(C576,'Registre maintenance'!B:F,3,FALSE),"Non trouvé")</f>
        <v>-10.967288</v>
      </c>
      <c r="I576">
        <f>IFERROR(VLOOKUP(C576,'Registre maintenance'!B:F,4,FALSE),"Non trouvé")</f>
        <v>17.617781000000001</v>
      </c>
      <c r="J576" t="str">
        <f>IFERROR(VLOOKUP(C576,'Registre maintenance'!B:F,5,FALSE),"Non trouvé")</f>
        <v>4G</v>
      </c>
      <c r="K576" t="str">
        <f t="shared" si="78"/>
        <v>OK</v>
      </c>
    </row>
    <row r="577" spans="1:11" x14ac:dyDescent="0.3">
      <c r="A577" t="s">
        <v>1227</v>
      </c>
      <c r="B577" s="1">
        <v>45207.342361111107</v>
      </c>
      <c r="C577" t="s">
        <v>1234</v>
      </c>
      <c r="D577">
        <v>28</v>
      </c>
      <c r="E577" t="s">
        <v>792</v>
      </c>
      <c r="F577" s="4" t="s">
        <v>25</v>
      </c>
      <c r="G577" s="4" t="str">
        <f>IFERROR(VLOOKUP(C577,'Registre maintenance'!B:F,2,FALSE),"Non trouvé")</f>
        <v>Bas-Uele</v>
      </c>
      <c r="H577">
        <f>IFERROR(VLOOKUP(C577,'Registre maintenance'!B:F,3,FALSE),"Non trouvé")</f>
        <v>0.40267799999999998</v>
      </c>
      <c r="I577">
        <f>IFERROR(VLOOKUP(C577,'Registre maintenance'!B:F,4,FALSE),"Non trouvé")</f>
        <v>16.000858000000001</v>
      </c>
      <c r="J577" t="str">
        <f>IFERROR(VLOOKUP(C577,'Registre maintenance'!B:F,5,FALSE),"Non trouvé")</f>
        <v>3G</v>
      </c>
      <c r="K577" t="str">
        <f t="shared" si="78"/>
        <v>OK</v>
      </c>
    </row>
    <row r="578" spans="1:11" x14ac:dyDescent="0.3">
      <c r="A578" t="s">
        <v>1227</v>
      </c>
      <c r="B578" s="1">
        <v>45210.836805555547</v>
      </c>
      <c r="C578" t="s">
        <v>1235</v>
      </c>
      <c r="D578">
        <v>118</v>
      </c>
      <c r="E578" t="s">
        <v>792</v>
      </c>
      <c r="F578" s="4" t="s">
        <v>15</v>
      </c>
      <c r="G578" s="4" t="str">
        <f>IFERROR(VLOOKUP(C578,'Registre maintenance'!B:F,2,FALSE),"Non trouvé")</f>
        <v>Mongala</v>
      </c>
      <c r="H578">
        <f>IFERROR(VLOOKUP(C578,'Registre maintenance'!B:F,3,FALSE),"Non trouvé")</f>
        <v>-11.407966</v>
      </c>
      <c r="I578">
        <f>IFERROR(VLOOKUP(C578,'Registre maintenance'!B:F,4,FALSE),"Non trouvé")</f>
        <v>28.378274000000001</v>
      </c>
      <c r="J578" t="str">
        <f>IFERROR(VLOOKUP(C578,'Registre maintenance'!B:F,5,FALSE),"Non trouvé")</f>
        <v>4G</v>
      </c>
      <c r="K578" t="str">
        <f t="shared" ref="K578:K641" si="88">IF(F578=G578,"OK","Mismatch")</f>
        <v>OK</v>
      </c>
    </row>
    <row r="579" spans="1:11" x14ac:dyDescent="0.3">
      <c r="A579" t="s">
        <v>1227</v>
      </c>
      <c r="B579" s="1">
        <v>45229.620833333327</v>
      </c>
      <c r="C579" t="s">
        <v>1236</v>
      </c>
      <c r="D579">
        <v>74</v>
      </c>
      <c r="E579" t="s">
        <v>797</v>
      </c>
      <c r="F579" s="4" t="str">
        <f t="shared" ref="F579:F580" si="89">F578</f>
        <v>Mongala</v>
      </c>
      <c r="G579" s="4" t="str">
        <f>IFERROR(VLOOKUP(C579,'Registre maintenance'!B:F,2,FALSE),"Non trouvé")</f>
        <v>Non trouvé</v>
      </c>
      <c r="H579" t="str">
        <f>IFERROR(VLOOKUP(C579,'Registre maintenance'!B:F,3,FALSE),"Non trouvé")</f>
        <v>Non trouvé</v>
      </c>
      <c r="I579" t="str">
        <f>IFERROR(VLOOKUP(C579,'Registre maintenance'!B:F,4,FALSE),"Non trouvé")</f>
        <v>Non trouvé</v>
      </c>
      <c r="J579" t="str">
        <f>IFERROR(VLOOKUP(C579,'Registre maintenance'!B:F,5,FALSE),"Non trouvé")</f>
        <v>Non trouvé</v>
      </c>
      <c r="K579" t="str">
        <f t="shared" si="88"/>
        <v>Mismatch</v>
      </c>
    </row>
    <row r="580" spans="1:11" x14ac:dyDescent="0.3">
      <c r="A580" t="s">
        <v>1227</v>
      </c>
      <c r="B580" s="1">
        <v>45211.106944444437</v>
      </c>
      <c r="C580" t="s">
        <v>879</v>
      </c>
      <c r="D580">
        <v>87</v>
      </c>
      <c r="E580" t="s">
        <v>797</v>
      </c>
      <c r="F580" s="4" t="str">
        <f t="shared" si="89"/>
        <v>Mongala</v>
      </c>
      <c r="G580" s="4" t="str">
        <f>IFERROR(VLOOKUP(C580,'Registre maintenance'!B:F,2,FALSE),"Non trouvé")</f>
        <v>Non trouvé</v>
      </c>
      <c r="H580" t="str">
        <f>IFERROR(VLOOKUP(C580,'Registre maintenance'!B:F,3,FALSE),"Non trouvé")</f>
        <v>Non trouvé</v>
      </c>
      <c r="I580" t="str">
        <f>IFERROR(VLOOKUP(C580,'Registre maintenance'!B:F,4,FALSE),"Non trouvé")</f>
        <v>Non trouvé</v>
      </c>
      <c r="J580" t="str">
        <f>IFERROR(VLOOKUP(C580,'Registre maintenance'!B:F,5,FALSE),"Non trouvé")</f>
        <v>Non trouvé</v>
      </c>
      <c r="K580" t="str">
        <f t="shared" si="88"/>
        <v>Mismatch</v>
      </c>
    </row>
    <row r="581" spans="1:11" x14ac:dyDescent="0.3">
      <c r="A581" t="s">
        <v>1227</v>
      </c>
      <c r="B581" s="1">
        <v>45223.252083333333</v>
      </c>
      <c r="C581" t="s">
        <v>1037</v>
      </c>
      <c r="D581">
        <v>12</v>
      </c>
      <c r="E581" t="s">
        <v>795</v>
      </c>
      <c r="F581" s="4" t="s">
        <v>129</v>
      </c>
      <c r="G581" s="4" t="str">
        <f>IFERROR(VLOOKUP(C581,'Registre maintenance'!B:F,2,FALSE),"Non trouvé")</f>
        <v>Nord-Kivu</v>
      </c>
      <c r="H581">
        <f>IFERROR(VLOOKUP(C581,'Registre maintenance'!B:F,3,FALSE),"Non trouvé")</f>
        <v>-10.846306999999999</v>
      </c>
      <c r="I581">
        <f>IFERROR(VLOOKUP(C581,'Registre maintenance'!B:F,4,FALSE),"Non trouvé")</f>
        <v>19.201827999999999</v>
      </c>
      <c r="J581" t="str">
        <f>IFERROR(VLOOKUP(C581,'Registre maintenance'!B:F,5,FALSE),"Non trouvé")</f>
        <v>4G</v>
      </c>
      <c r="K581" t="str">
        <f t="shared" si="88"/>
        <v>OK</v>
      </c>
    </row>
    <row r="582" spans="1:11" x14ac:dyDescent="0.3">
      <c r="A582" t="s">
        <v>1227</v>
      </c>
      <c r="B582" s="1">
        <v>45208.529861111107</v>
      </c>
      <c r="C582" t="s">
        <v>1237</v>
      </c>
      <c r="D582">
        <v>72</v>
      </c>
      <c r="E582" t="s">
        <v>797</v>
      </c>
      <c r="F582" s="4" t="str">
        <f t="shared" ref="F582:F583" si="90">F581</f>
        <v>Nord-Kivu</v>
      </c>
      <c r="G582" s="4" t="str">
        <f>IFERROR(VLOOKUP(C582,'Registre maintenance'!B:F,2,FALSE),"Non trouvé")</f>
        <v>Non trouvé</v>
      </c>
      <c r="H582" t="str">
        <f>IFERROR(VLOOKUP(C582,'Registre maintenance'!B:F,3,FALSE),"Non trouvé")</f>
        <v>Non trouvé</v>
      </c>
      <c r="I582" t="str">
        <f>IFERROR(VLOOKUP(C582,'Registre maintenance'!B:F,4,FALSE),"Non trouvé")</f>
        <v>Non trouvé</v>
      </c>
      <c r="J582" t="str">
        <f>IFERROR(VLOOKUP(C582,'Registre maintenance'!B:F,5,FALSE),"Non trouvé")</f>
        <v>Non trouvé</v>
      </c>
      <c r="K582" t="str">
        <f t="shared" si="88"/>
        <v>Mismatch</v>
      </c>
    </row>
    <row r="583" spans="1:11" x14ac:dyDescent="0.3">
      <c r="A583" t="s">
        <v>1227</v>
      </c>
      <c r="B583" s="1">
        <v>45219.793055555558</v>
      </c>
      <c r="C583" t="s">
        <v>1017</v>
      </c>
      <c r="D583">
        <v>9</v>
      </c>
      <c r="E583" t="s">
        <v>795</v>
      </c>
      <c r="F583" s="4" t="str">
        <f t="shared" si="90"/>
        <v>Nord-Kivu</v>
      </c>
      <c r="G583" s="4" t="str">
        <f>IFERROR(VLOOKUP(C583,'Registre maintenance'!B:F,2,FALSE),"Non trouvé")</f>
        <v>Non trouvé</v>
      </c>
      <c r="H583" t="str">
        <f>IFERROR(VLOOKUP(C583,'Registre maintenance'!B:F,3,FALSE),"Non trouvé")</f>
        <v>Non trouvé</v>
      </c>
      <c r="I583" t="str">
        <f>IFERROR(VLOOKUP(C583,'Registre maintenance'!B:F,4,FALSE),"Non trouvé")</f>
        <v>Non trouvé</v>
      </c>
      <c r="J583" t="str">
        <f>IFERROR(VLOOKUP(C583,'Registre maintenance'!B:F,5,FALSE),"Non trouvé")</f>
        <v>Non trouvé</v>
      </c>
      <c r="K583" t="str">
        <f t="shared" si="88"/>
        <v>Mismatch</v>
      </c>
    </row>
    <row r="584" spans="1:11" x14ac:dyDescent="0.3">
      <c r="A584" t="s">
        <v>1227</v>
      </c>
      <c r="B584" s="1">
        <v>45227.091666666667</v>
      </c>
      <c r="C584" t="s">
        <v>1238</v>
      </c>
      <c r="D584">
        <v>112</v>
      </c>
      <c r="E584" t="s">
        <v>792</v>
      </c>
      <c r="F584" s="4" t="s">
        <v>50</v>
      </c>
      <c r="G584" s="4" t="str">
        <f>IFERROR(VLOOKUP(C584,'Registre maintenance'!B:F,2,FALSE),"Non trouvé")</f>
        <v>Kwilu</v>
      </c>
      <c r="H584">
        <f>IFERROR(VLOOKUP(C584,'Registre maintenance'!B:F,3,FALSE),"Non trouvé")</f>
        <v>-10.161428000000001</v>
      </c>
      <c r="I584">
        <f>IFERROR(VLOOKUP(C584,'Registre maintenance'!B:F,4,FALSE),"Non trouvé")</f>
        <v>19.362325999999999</v>
      </c>
      <c r="J584" t="str">
        <f>IFERROR(VLOOKUP(C584,'Registre maintenance'!B:F,5,FALSE),"Non trouvé")</f>
        <v>3G</v>
      </c>
      <c r="K584" t="str">
        <f t="shared" si="88"/>
        <v>OK</v>
      </c>
    </row>
    <row r="585" spans="1:11" x14ac:dyDescent="0.3">
      <c r="A585" t="s">
        <v>1227</v>
      </c>
      <c r="B585" s="1">
        <v>45225.781944444447</v>
      </c>
      <c r="C585" t="s">
        <v>1239</v>
      </c>
      <c r="D585">
        <v>113</v>
      </c>
      <c r="E585" t="s">
        <v>795</v>
      </c>
      <c r="F585" s="4" t="s">
        <v>36</v>
      </c>
      <c r="G585" s="4" t="str">
        <f>IFERROR(VLOOKUP(C585,'Registre maintenance'!B:F,2,FALSE),"Non trouvé")</f>
        <v>Tanganyika</v>
      </c>
      <c r="H585">
        <f>IFERROR(VLOOKUP(C585,'Registre maintenance'!B:F,3,FALSE),"Non trouvé")</f>
        <v>-7.9425049999999997</v>
      </c>
      <c r="I585">
        <f>IFERROR(VLOOKUP(C585,'Registre maintenance'!B:F,4,FALSE),"Non trouvé")</f>
        <v>24.111059000000001</v>
      </c>
      <c r="J585" t="str">
        <f>IFERROR(VLOOKUP(C585,'Registre maintenance'!B:F,5,FALSE),"Non trouvé")</f>
        <v>3G</v>
      </c>
      <c r="K585" t="str">
        <f t="shared" si="88"/>
        <v>OK</v>
      </c>
    </row>
    <row r="586" spans="1:11" x14ac:dyDescent="0.3">
      <c r="A586" t="s">
        <v>1227</v>
      </c>
      <c r="B586" s="1">
        <v>45221.717361111107</v>
      </c>
      <c r="C586" t="s">
        <v>822</v>
      </c>
      <c r="D586">
        <v>14</v>
      </c>
      <c r="E586" t="s">
        <v>792</v>
      </c>
      <c r="F586" s="4" t="str">
        <f>F585</f>
        <v>Tanganyika</v>
      </c>
      <c r="G586" s="4" t="str">
        <f>IFERROR(VLOOKUP(C586,'Registre maintenance'!B:F,2,FALSE),"Non trouvé")</f>
        <v>Non trouvé</v>
      </c>
      <c r="H586" t="str">
        <f>IFERROR(VLOOKUP(C586,'Registre maintenance'!B:F,3,FALSE),"Non trouvé")</f>
        <v>Non trouvé</v>
      </c>
      <c r="I586" t="str">
        <f>IFERROR(VLOOKUP(C586,'Registre maintenance'!B:F,4,FALSE),"Non trouvé")</f>
        <v>Non trouvé</v>
      </c>
      <c r="J586" t="str">
        <f>IFERROR(VLOOKUP(C586,'Registre maintenance'!B:F,5,FALSE),"Non trouvé")</f>
        <v>Non trouvé</v>
      </c>
      <c r="K586" t="str">
        <f t="shared" si="88"/>
        <v>Mismatch</v>
      </c>
    </row>
    <row r="587" spans="1:11" x14ac:dyDescent="0.3">
      <c r="A587" t="s">
        <v>1227</v>
      </c>
      <c r="B587" s="1">
        <v>45215.288194444453</v>
      </c>
      <c r="C587" t="s">
        <v>1240</v>
      </c>
      <c r="D587">
        <v>109</v>
      </c>
      <c r="E587" t="s">
        <v>792</v>
      </c>
      <c r="F587" s="4" t="s">
        <v>61</v>
      </c>
      <c r="G587" s="4" t="str">
        <f>IFERROR(VLOOKUP(C587,'Registre maintenance'!B:F,2,FALSE),"Non trouvé")</f>
        <v>Kongo-Central</v>
      </c>
      <c r="H587">
        <f>IFERROR(VLOOKUP(C587,'Registre maintenance'!B:F,3,FALSE),"Non trouvé")</f>
        <v>-11.157245</v>
      </c>
      <c r="I587">
        <f>IFERROR(VLOOKUP(C587,'Registre maintenance'!B:F,4,FALSE),"Non trouvé")</f>
        <v>21.262627999999999</v>
      </c>
      <c r="J587" t="str">
        <f>IFERROR(VLOOKUP(C587,'Registre maintenance'!B:F,5,FALSE),"Non trouvé")</f>
        <v>5G</v>
      </c>
      <c r="K587" t="str">
        <f t="shared" si="88"/>
        <v>OK</v>
      </c>
    </row>
    <row r="588" spans="1:11" x14ac:dyDescent="0.3">
      <c r="A588" t="s">
        <v>1227</v>
      </c>
      <c r="B588" s="1">
        <v>45229.429861111108</v>
      </c>
      <c r="C588" t="s">
        <v>1076</v>
      </c>
      <c r="D588">
        <v>90</v>
      </c>
      <c r="E588" t="s">
        <v>792</v>
      </c>
      <c r="F588" s="4" t="str">
        <f>F587</f>
        <v>Kongo-Central</v>
      </c>
      <c r="G588" s="4" t="str">
        <f>IFERROR(VLOOKUP(C588,'Registre maintenance'!B:F,2,FALSE),"Non trouvé")</f>
        <v>Non trouvé</v>
      </c>
      <c r="H588" t="str">
        <f>IFERROR(VLOOKUP(C588,'Registre maintenance'!B:F,3,FALSE),"Non trouvé")</f>
        <v>Non trouvé</v>
      </c>
      <c r="I588" t="str">
        <f>IFERROR(VLOOKUP(C588,'Registre maintenance'!B:F,4,FALSE),"Non trouvé")</f>
        <v>Non trouvé</v>
      </c>
      <c r="J588" t="str">
        <f>IFERROR(VLOOKUP(C588,'Registre maintenance'!B:F,5,FALSE),"Non trouvé")</f>
        <v>Non trouvé</v>
      </c>
      <c r="K588" t="str">
        <f t="shared" si="88"/>
        <v>Mismatch</v>
      </c>
    </row>
    <row r="589" spans="1:11" x14ac:dyDescent="0.3">
      <c r="A589" t="s">
        <v>1227</v>
      </c>
      <c r="B589" s="1">
        <v>45230.009027777778</v>
      </c>
      <c r="C589" t="s">
        <v>871</v>
      </c>
      <c r="D589">
        <v>11</v>
      </c>
      <c r="E589" t="s">
        <v>795</v>
      </c>
      <c r="F589" s="4" t="s">
        <v>87</v>
      </c>
      <c r="G589" s="4" t="str">
        <f>IFERROR(VLOOKUP(C589,'Registre maintenance'!B:F,2,FALSE),"Non trouvé")</f>
        <v>Nord-Ubangi</v>
      </c>
      <c r="H589">
        <f>IFERROR(VLOOKUP(C589,'Registre maintenance'!B:F,3,FALSE),"Non trouvé")</f>
        <v>0.94539899999999999</v>
      </c>
      <c r="I589">
        <f>IFERROR(VLOOKUP(C589,'Registre maintenance'!B:F,4,FALSE),"Non trouvé")</f>
        <v>14.401821999999999</v>
      </c>
      <c r="J589" t="str">
        <f>IFERROR(VLOOKUP(C589,'Registre maintenance'!B:F,5,FALSE),"Non trouvé")</f>
        <v>5G</v>
      </c>
      <c r="K589" t="str">
        <f t="shared" si="88"/>
        <v>OK</v>
      </c>
    </row>
    <row r="590" spans="1:11" x14ac:dyDescent="0.3">
      <c r="A590" t="s">
        <v>1227</v>
      </c>
      <c r="B590" s="1">
        <v>45229.282638888893</v>
      </c>
      <c r="C590" t="s">
        <v>836</v>
      </c>
      <c r="D590">
        <v>102</v>
      </c>
      <c r="E590" t="s">
        <v>795</v>
      </c>
      <c r="F590" s="4" t="str">
        <f t="shared" ref="F590:F594" si="91">F589</f>
        <v>Nord-Ubangi</v>
      </c>
      <c r="G590" s="4" t="str">
        <f>IFERROR(VLOOKUP(C590,'Registre maintenance'!B:F,2,FALSE),"Non trouvé")</f>
        <v>Non trouvé</v>
      </c>
      <c r="H590" t="str">
        <f>IFERROR(VLOOKUP(C590,'Registre maintenance'!B:F,3,FALSE),"Non trouvé")</f>
        <v>Non trouvé</v>
      </c>
      <c r="I590" t="str">
        <f>IFERROR(VLOOKUP(C590,'Registre maintenance'!B:F,4,FALSE),"Non trouvé")</f>
        <v>Non trouvé</v>
      </c>
      <c r="J590" t="str">
        <f>IFERROR(VLOOKUP(C590,'Registre maintenance'!B:F,5,FALSE),"Non trouvé")</f>
        <v>Non trouvé</v>
      </c>
      <c r="K590" t="str">
        <f t="shared" si="88"/>
        <v>Mismatch</v>
      </c>
    </row>
    <row r="591" spans="1:11" x14ac:dyDescent="0.3">
      <c r="A591" t="s">
        <v>1227</v>
      </c>
      <c r="B591" s="1">
        <v>45203.991666666669</v>
      </c>
      <c r="C591" t="s">
        <v>1241</v>
      </c>
      <c r="D591">
        <v>5</v>
      </c>
      <c r="E591" t="s">
        <v>797</v>
      </c>
      <c r="F591" s="4" t="str">
        <f t="shared" si="91"/>
        <v>Nord-Ubangi</v>
      </c>
      <c r="G591" s="4" t="str">
        <f>IFERROR(VLOOKUP(C591,'Registre maintenance'!B:F,2,FALSE),"Non trouvé")</f>
        <v>Non trouvé</v>
      </c>
      <c r="H591" t="str">
        <f>IFERROR(VLOOKUP(C591,'Registre maintenance'!B:F,3,FALSE),"Non trouvé")</f>
        <v>Non trouvé</v>
      </c>
      <c r="I591" t="str">
        <f>IFERROR(VLOOKUP(C591,'Registre maintenance'!B:F,4,FALSE),"Non trouvé")</f>
        <v>Non trouvé</v>
      </c>
      <c r="J591" t="str">
        <f>IFERROR(VLOOKUP(C591,'Registre maintenance'!B:F,5,FALSE),"Non trouvé")</f>
        <v>Non trouvé</v>
      </c>
      <c r="K591" t="str">
        <f t="shared" si="88"/>
        <v>Mismatch</v>
      </c>
    </row>
    <row r="592" spans="1:11" x14ac:dyDescent="0.3">
      <c r="A592" t="s">
        <v>1227</v>
      </c>
      <c r="B592" s="1">
        <v>45215.322222222218</v>
      </c>
      <c r="C592" t="s">
        <v>1242</v>
      </c>
      <c r="D592">
        <v>57</v>
      </c>
      <c r="E592" t="s">
        <v>797</v>
      </c>
      <c r="F592" s="4" t="str">
        <f t="shared" si="91"/>
        <v>Nord-Ubangi</v>
      </c>
      <c r="G592" s="4" t="str">
        <f>IFERROR(VLOOKUP(C592,'Registre maintenance'!B:F,2,FALSE),"Non trouvé")</f>
        <v>Non trouvé</v>
      </c>
      <c r="H592" t="str">
        <f>IFERROR(VLOOKUP(C592,'Registre maintenance'!B:F,3,FALSE),"Non trouvé")</f>
        <v>Non trouvé</v>
      </c>
      <c r="I592" t="str">
        <f>IFERROR(VLOOKUP(C592,'Registre maintenance'!B:F,4,FALSE),"Non trouvé")</f>
        <v>Non trouvé</v>
      </c>
      <c r="J592" t="str">
        <f>IFERROR(VLOOKUP(C592,'Registre maintenance'!B:F,5,FALSE),"Non trouvé")</f>
        <v>Non trouvé</v>
      </c>
      <c r="K592" t="str">
        <f t="shared" si="88"/>
        <v>Mismatch</v>
      </c>
    </row>
    <row r="593" spans="1:11" x14ac:dyDescent="0.3">
      <c r="A593" t="s">
        <v>1227</v>
      </c>
      <c r="B593" s="1">
        <v>45219.925694444442</v>
      </c>
      <c r="C593" t="s">
        <v>1243</v>
      </c>
      <c r="D593">
        <v>22</v>
      </c>
      <c r="E593" t="s">
        <v>792</v>
      </c>
      <c r="F593" s="4" t="str">
        <f t="shared" si="91"/>
        <v>Nord-Ubangi</v>
      </c>
      <c r="G593" s="4" t="str">
        <f>IFERROR(VLOOKUP(C593,'Registre maintenance'!B:F,2,FALSE),"Non trouvé")</f>
        <v>Non trouvé</v>
      </c>
      <c r="H593" t="str">
        <f>IFERROR(VLOOKUP(C593,'Registre maintenance'!B:F,3,FALSE),"Non trouvé")</f>
        <v>Non trouvé</v>
      </c>
      <c r="I593" t="str">
        <f>IFERROR(VLOOKUP(C593,'Registre maintenance'!B:F,4,FALSE),"Non trouvé")</f>
        <v>Non trouvé</v>
      </c>
      <c r="J593" t="str">
        <f>IFERROR(VLOOKUP(C593,'Registre maintenance'!B:F,5,FALSE),"Non trouvé")</f>
        <v>Non trouvé</v>
      </c>
      <c r="K593" t="str">
        <f t="shared" si="88"/>
        <v>Mismatch</v>
      </c>
    </row>
    <row r="594" spans="1:11" x14ac:dyDescent="0.3">
      <c r="A594" t="s">
        <v>1227</v>
      </c>
      <c r="B594" s="1">
        <v>45212.315972222219</v>
      </c>
      <c r="C594" t="s">
        <v>963</v>
      </c>
      <c r="D594">
        <v>112</v>
      </c>
      <c r="E594" t="s">
        <v>792</v>
      </c>
      <c r="F594" s="4" t="str">
        <f t="shared" si="91"/>
        <v>Nord-Ubangi</v>
      </c>
      <c r="G594" s="4" t="str">
        <f>IFERROR(VLOOKUP(C594,'Registre maintenance'!B:F,2,FALSE),"Non trouvé")</f>
        <v>Non trouvé</v>
      </c>
      <c r="H594" t="str">
        <f>IFERROR(VLOOKUP(C594,'Registre maintenance'!B:F,3,FALSE),"Non trouvé")</f>
        <v>Non trouvé</v>
      </c>
      <c r="I594" t="str">
        <f>IFERROR(VLOOKUP(C594,'Registre maintenance'!B:F,4,FALSE),"Non trouvé")</f>
        <v>Non trouvé</v>
      </c>
      <c r="J594" t="str">
        <f>IFERROR(VLOOKUP(C594,'Registre maintenance'!B:F,5,FALSE),"Non trouvé")</f>
        <v>Non trouvé</v>
      </c>
      <c r="K594" t="str">
        <f t="shared" si="88"/>
        <v>Mismatch</v>
      </c>
    </row>
    <row r="595" spans="1:11" x14ac:dyDescent="0.3">
      <c r="A595" t="s">
        <v>1227</v>
      </c>
      <c r="B595" s="1">
        <v>45210.39166666667</v>
      </c>
      <c r="C595" t="s">
        <v>892</v>
      </c>
      <c r="D595">
        <v>85</v>
      </c>
      <c r="E595" t="s">
        <v>795</v>
      </c>
      <c r="F595" s="4" t="s">
        <v>129</v>
      </c>
      <c r="G595" s="4" t="str">
        <f>IFERROR(VLOOKUP(C595,'Registre maintenance'!B:F,2,FALSE),"Non trouvé")</f>
        <v>Nord-Kivu</v>
      </c>
      <c r="H595">
        <f>IFERROR(VLOOKUP(C595,'Registre maintenance'!B:F,3,FALSE),"Non trouvé")</f>
        <v>1.017161</v>
      </c>
      <c r="I595">
        <f>IFERROR(VLOOKUP(C595,'Registre maintenance'!B:F,4,FALSE),"Non trouvé")</f>
        <v>16.519689</v>
      </c>
      <c r="J595" t="str">
        <f>IFERROR(VLOOKUP(C595,'Registre maintenance'!B:F,5,FALSE),"Non trouvé")</f>
        <v>3G</v>
      </c>
      <c r="K595" t="str">
        <f t="shared" si="88"/>
        <v>OK</v>
      </c>
    </row>
    <row r="596" spans="1:11" x14ac:dyDescent="0.3">
      <c r="A596" t="s">
        <v>1227</v>
      </c>
      <c r="B596" s="1">
        <v>45214.736805555563</v>
      </c>
      <c r="C596" t="s">
        <v>1244</v>
      </c>
      <c r="D596">
        <v>34</v>
      </c>
      <c r="E596" t="s">
        <v>797</v>
      </c>
      <c r="F596" s="4" t="str">
        <f t="shared" ref="F596:F598" si="92">F595</f>
        <v>Nord-Kivu</v>
      </c>
      <c r="G596" s="4" t="str">
        <f>IFERROR(VLOOKUP(C596,'Registre maintenance'!B:F,2,FALSE),"Non trouvé")</f>
        <v>Non trouvé</v>
      </c>
      <c r="H596" t="str">
        <f>IFERROR(VLOOKUP(C596,'Registre maintenance'!B:F,3,FALSE),"Non trouvé")</f>
        <v>Non trouvé</v>
      </c>
      <c r="I596" t="str">
        <f>IFERROR(VLOOKUP(C596,'Registre maintenance'!B:F,4,FALSE),"Non trouvé")</f>
        <v>Non trouvé</v>
      </c>
      <c r="J596" t="str">
        <f>IFERROR(VLOOKUP(C596,'Registre maintenance'!B:F,5,FALSE),"Non trouvé")</f>
        <v>Non trouvé</v>
      </c>
      <c r="K596" t="str">
        <f t="shared" si="88"/>
        <v>Mismatch</v>
      </c>
    </row>
    <row r="597" spans="1:11" x14ac:dyDescent="0.3">
      <c r="A597" t="s">
        <v>1227</v>
      </c>
      <c r="B597" s="1">
        <v>45211.386111111111</v>
      </c>
      <c r="C597" t="s">
        <v>986</v>
      </c>
      <c r="D597">
        <v>13</v>
      </c>
      <c r="E597" t="s">
        <v>795</v>
      </c>
      <c r="F597" s="4" t="str">
        <f t="shared" si="92"/>
        <v>Nord-Kivu</v>
      </c>
      <c r="G597" s="4" t="str">
        <f>IFERROR(VLOOKUP(C597,'Registre maintenance'!B:F,2,FALSE),"Non trouvé")</f>
        <v>Non trouvé</v>
      </c>
      <c r="H597" t="str">
        <f>IFERROR(VLOOKUP(C597,'Registre maintenance'!B:F,3,FALSE),"Non trouvé")</f>
        <v>Non trouvé</v>
      </c>
      <c r="I597" t="str">
        <f>IFERROR(VLOOKUP(C597,'Registre maintenance'!B:F,4,FALSE),"Non trouvé")</f>
        <v>Non trouvé</v>
      </c>
      <c r="J597" t="str">
        <f>IFERROR(VLOOKUP(C597,'Registre maintenance'!B:F,5,FALSE),"Non trouvé")</f>
        <v>Non trouvé</v>
      </c>
      <c r="K597" t="str">
        <f t="shared" si="88"/>
        <v>Mismatch</v>
      </c>
    </row>
    <row r="598" spans="1:11" x14ac:dyDescent="0.3">
      <c r="A598" t="s">
        <v>1227</v>
      </c>
      <c r="B598" s="1">
        <v>45211.705555555563</v>
      </c>
      <c r="C598" t="s">
        <v>1245</v>
      </c>
      <c r="D598">
        <v>95</v>
      </c>
      <c r="E598" t="s">
        <v>795</v>
      </c>
      <c r="F598" s="4" t="str">
        <f t="shared" si="92"/>
        <v>Nord-Kivu</v>
      </c>
      <c r="G598" s="4" t="str">
        <f>IFERROR(VLOOKUP(C598,'Registre maintenance'!B:F,2,FALSE),"Non trouvé")</f>
        <v>Non trouvé</v>
      </c>
      <c r="H598" t="str">
        <f>IFERROR(VLOOKUP(C598,'Registre maintenance'!B:F,3,FALSE),"Non trouvé")</f>
        <v>Non trouvé</v>
      </c>
      <c r="I598" t="str">
        <f>IFERROR(VLOOKUP(C598,'Registre maintenance'!B:F,4,FALSE),"Non trouvé")</f>
        <v>Non trouvé</v>
      </c>
      <c r="J598" t="str">
        <f>IFERROR(VLOOKUP(C598,'Registre maintenance'!B:F,5,FALSE),"Non trouvé")</f>
        <v>Non trouvé</v>
      </c>
      <c r="K598" t="str">
        <f t="shared" si="88"/>
        <v>Mismatch</v>
      </c>
    </row>
    <row r="599" spans="1:11" x14ac:dyDescent="0.3">
      <c r="A599" t="s">
        <v>1227</v>
      </c>
      <c r="B599" s="1">
        <v>45215.587500000001</v>
      </c>
      <c r="C599" t="s">
        <v>1246</v>
      </c>
      <c r="D599">
        <v>24</v>
      </c>
      <c r="E599" t="s">
        <v>795</v>
      </c>
      <c r="F599" s="4" t="s">
        <v>77</v>
      </c>
      <c r="G599" s="4" t="str">
        <f>IFERROR(VLOOKUP(C599,'Registre maintenance'!B:F,2,FALSE),"Non trouvé")</f>
        <v>Maniema</v>
      </c>
      <c r="H599">
        <f>IFERROR(VLOOKUP(C599,'Registre maintenance'!B:F,3,FALSE),"Non trouvé")</f>
        <v>2.5458379999999998</v>
      </c>
      <c r="I599">
        <f>IFERROR(VLOOKUP(C599,'Registre maintenance'!B:F,4,FALSE),"Non trouvé")</f>
        <v>13.308655</v>
      </c>
      <c r="J599" t="str">
        <f>IFERROR(VLOOKUP(C599,'Registre maintenance'!B:F,5,FALSE),"Non trouvé")</f>
        <v>5G</v>
      </c>
      <c r="K599" t="str">
        <f t="shared" si="88"/>
        <v>OK</v>
      </c>
    </row>
    <row r="600" spans="1:11" x14ac:dyDescent="0.3">
      <c r="A600" t="s">
        <v>1227</v>
      </c>
      <c r="B600" s="1">
        <v>45225.979166666657</v>
      </c>
      <c r="C600" t="s">
        <v>1077</v>
      </c>
      <c r="D600">
        <v>6</v>
      </c>
      <c r="E600" t="s">
        <v>792</v>
      </c>
      <c r="F600" s="4" t="str">
        <f t="shared" ref="F600:F602" si="93">F599</f>
        <v>Maniema</v>
      </c>
      <c r="G600" s="4" t="str">
        <f>IFERROR(VLOOKUP(C600,'Registre maintenance'!B:F,2,FALSE),"Non trouvé")</f>
        <v>Non trouvé</v>
      </c>
      <c r="H600" t="str">
        <f>IFERROR(VLOOKUP(C600,'Registre maintenance'!B:F,3,FALSE),"Non trouvé")</f>
        <v>Non trouvé</v>
      </c>
      <c r="I600" t="str">
        <f>IFERROR(VLOOKUP(C600,'Registre maintenance'!B:F,4,FALSE),"Non trouvé")</f>
        <v>Non trouvé</v>
      </c>
      <c r="J600" t="str">
        <f>IFERROR(VLOOKUP(C600,'Registre maintenance'!B:F,5,FALSE),"Non trouvé")</f>
        <v>Non trouvé</v>
      </c>
      <c r="K600" t="str">
        <f t="shared" si="88"/>
        <v>Mismatch</v>
      </c>
    </row>
    <row r="601" spans="1:11" x14ac:dyDescent="0.3">
      <c r="A601" t="s">
        <v>1227</v>
      </c>
      <c r="B601" s="1">
        <v>45224.456944444442</v>
      </c>
      <c r="C601" t="s">
        <v>816</v>
      </c>
      <c r="D601">
        <v>32</v>
      </c>
      <c r="E601" t="s">
        <v>792</v>
      </c>
      <c r="F601" s="4" t="str">
        <f t="shared" si="93"/>
        <v>Maniema</v>
      </c>
      <c r="G601" s="4" t="str">
        <f>IFERROR(VLOOKUP(C601,'Registre maintenance'!B:F,2,FALSE),"Non trouvé")</f>
        <v>Non trouvé</v>
      </c>
      <c r="H601" t="str">
        <f>IFERROR(VLOOKUP(C601,'Registre maintenance'!B:F,3,FALSE),"Non trouvé")</f>
        <v>Non trouvé</v>
      </c>
      <c r="I601" t="str">
        <f>IFERROR(VLOOKUP(C601,'Registre maintenance'!B:F,4,FALSE),"Non trouvé")</f>
        <v>Non trouvé</v>
      </c>
      <c r="J601" t="str">
        <f>IFERROR(VLOOKUP(C601,'Registre maintenance'!B:F,5,FALSE),"Non trouvé")</f>
        <v>Non trouvé</v>
      </c>
      <c r="K601" t="str">
        <f t="shared" si="88"/>
        <v>Mismatch</v>
      </c>
    </row>
    <row r="602" spans="1:11" x14ac:dyDescent="0.3">
      <c r="A602" t="s">
        <v>1227</v>
      </c>
      <c r="B602" s="1">
        <v>45206.472222222219</v>
      </c>
      <c r="C602" t="s">
        <v>1247</v>
      </c>
      <c r="D602">
        <v>69</v>
      </c>
      <c r="E602" t="s">
        <v>797</v>
      </c>
      <c r="F602" s="4" t="str">
        <f t="shared" si="93"/>
        <v>Maniema</v>
      </c>
      <c r="G602" s="4" t="str">
        <f>IFERROR(VLOOKUP(C602,'Registre maintenance'!B:F,2,FALSE),"Non trouvé")</f>
        <v>Non trouvé</v>
      </c>
      <c r="H602" t="str">
        <f>IFERROR(VLOOKUP(C602,'Registre maintenance'!B:F,3,FALSE),"Non trouvé")</f>
        <v>Non trouvé</v>
      </c>
      <c r="I602" t="str">
        <f>IFERROR(VLOOKUP(C602,'Registre maintenance'!B:F,4,FALSE),"Non trouvé")</f>
        <v>Non trouvé</v>
      </c>
      <c r="J602" t="str">
        <f>IFERROR(VLOOKUP(C602,'Registre maintenance'!B:F,5,FALSE),"Non trouvé")</f>
        <v>Non trouvé</v>
      </c>
      <c r="K602" t="str">
        <f t="shared" si="88"/>
        <v>Mismatch</v>
      </c>
    </row>
    <row r="603" spans="1:11" x14ac:dyDescent="0.3">
      <c r="A603" t="s">
        <v>1227</v>
      </c>
      <c r="B603" s="1">
        <v>45213.066666666673</v>
      </c>
      <c r="C603" t="s">
        <v>1132</v>
      </c>
      <c r="D603">
        <v>63</v>
      </c>
      <c r="E603" t="s">
        <v>792</v>
      </c>
      <c r="F603" s="4" t="s">
        <v>30</v>
      </c>
      <c r="G603" s="4" t="str">
        <f>IFERROR(VLOOKUP(C603,'Registre maintenance'!B:F,2,FALSE),"Non trouvé")</f>
        <v>Sud-Ubangi</v>
      </c>
      <c r="H603">
        <f>IFERROR(VLOOKUP(C603,'Registre maintenance'!B:F,3,FALSE),"Non trouvé")</f>
        <v>-11.387295999999999</v>
      </c>
      <c r="I603">
        <f>IFERROR(VLOOKUP(C603,'Registre maintenance'!B:F,4,FALSE),"Non trouvé")</f>
        <v>19.384257999999999</v>
      </c>
      <c r="J603" t="str">
        <f>IFERROR(VLOOKUP(C603,'Registre maintenance'!B:F,5,FALSE),"Non trouvé")</f>
        <v>3G</v>
      </c>
      <c r="K603" t="str">
        <f t="shared" si="88"/>
        <v>OK</v>
      </c>
    </row>
    <row r="604" spans="1:11" x14ac:dyDescent="0.3">
      <c r="A604" t="s">
        <v>1227</v>
      </c>
      <c r="B604" s="1">
        <v>45227.324305555558</v>
      </c>
      <c r="C604" t="s">
        <v>1248</v>
      </c>
      <c r="D604">
        <v>52</v>
      </c>
      <c r="E604" t="s">
        <v>792</v>
      </c>
      <c r="F604" s="4" t="str">
        <f>F603</f>
        <v>Sud-Ubangi</v>
      </c>
      <c r="G604" s="4" t="str">
        <f>IFERROR(VLOOKUP(C604,'Registre maintenance'!B:F,2,FALSE),"Non trouvé")</f>
        <v>Non trouvé</v>
      </c>
      <c r="H604" t="str">
        <f>IFERROR(VLOOKUP(C604,'Registre maintenance'!B:F,3,FALSE),"Non trouvé")</f>
        <v>Non trouvé</v>
      </c>
      <c r="I604" t="str">
        <f>IFERROR(VLOOKUP(C604,'Registre maintenance'!B:F,4,FALSE),"Non trouvé")</f>
        <v>Non trouvé</v>
      </c>
      <c r="J604" t="str">
        <f>IFERROR(VLOOKUP(C604,'Registre maintenance'!B:F,5,FALSE),"Non trouvé")</f>
        <v>Non trouvé</v>
      </c>
      <c r="K604" t="str">
        <f t="shared" si="88"/>
        <v>Mismatch</v>
      </c>
    </row>
    <row r="605" spans="1:11" x14ac:dyDescent="0.3">
      <c r="A605" t="s">
        <v>1227</v>
      </c>
      <c r="B605" s="1">
        <v>45204.011111111111</v>
      </c>
      <c r="C605" t="s">
        <v>1249</v>
      </c>
      <c r="D605">
        <v>12</v>
      </c>
      <c r="E605" t="s">
        <v>795</v>
      </c>
      <c r="F605" s="4" t="s">
        <v>77</v>
      </c>
      <c r="G605" s="4" t="str">
        <f>IFERROR(VLOOKUP(C605,'Registre maintenance'!B:F,2,FALSE),"Non trouvé")</f>
        <v>Maniema</v>
      </c>
      <c r="H605">
        <f>IFERROR(VLOOKUP(C605,'Registre maintenance'!B:F,3,FALSE),"Non trouvé")</f>
        <v>-1.6488929999999999</v>
      </c>
      <c r="I605">
        <f>IFERROR(VLOOKUP(C605,'Registre maintenance'!B:F,4,FALSE),"Non trouvé")</f>
        <v>27.284617000000001</v>
      </c>
      <c r="J605" t="str">
        <f>IFERROR(VLOOKUP(C605,'Registre maintenance'!B:F,5,FALSE),"Non trouvé")</f>
        <v>5G</v>
      </c>
      <c r="K605" t="str">
        <f t="shared" si="88"/>
        <v>OK</v>
      </c>
    </row>
    <row r="606" spans="1:11" x14ac:dyDescent="0.3">
      <c r="A606" t="s">
        <v>1227</v>
      </c>
      <c r="B606" s="1">
        <v>45217.775694444441</v>
      </c>
      <c r="C606" t="s">
        <v>950</v>
      </c>
      <c r="D606">
        <v>84</v>
      </c>
      <c r="E606" t="s">
        <v>792</v>
      </c>
      <c r="F606" s="4" t="s">
        <v>77</v>
      </c>
      <c r="G606" s="4" t="str">
        <f>IFERROR(VLOOKUP(C606,'Registre maintenance'!B:F,2,FALSE),"Non trouvé")</f>
        <v>Maniema</v>
      </c>
      <c r="H606">
        <f>IFERROR(VLOOKUP(C606,'Registre maintenance'!B:F,3,FALSE),"Non trouvé")</f>
        <v>-2.3743210000000001</v>
      </c>
      <c r="I606">
        <f>IFERROR(VLOOKUP(C606,'Registre maintenance'!B:F,4,FALSE),"Non trouvé")</f>
        <v>22.399491000000001</v>
      </c>
      <c r="J606" t="str">
        <f>IFERROR(VLOOKUP(C606,'Registre maintenance'!B:F,5,FALSE),"Non trouvé")</f>
        <v>5G</v>
      </c>
      <c r="K606" t="str">
        <f t="shared" si="88"/>
        <v>OK</v>
      </c>
    </row>
    <row r="607" spans="1:11" x14ac:dyDescent="0.3">
      <c r="A607" t="s">
        <v>1227</v>
      </c>
      <c r="B607" s="1">
        <v>45223.554166666669</v>
      </c>
      <c r="C607" t="s">
        <v>1250</v>
      </c>
      <c r="D607">
        <v>86</v>
      </c>
      <c r="E607" t="s">
        <v>795</v>
      </c>
      <c r="F607" s="4" t="s">
        <v>30</v>
      </c>
      <c r="G607" s="4" t="str">
        <f>IFERROR(VLOOKUP(C607,'Registre maintenance'!B:F,2,FALSE),"Non trouvé")</f>
        <v>Sud-Ubangi</v>
      </c>
      <c r="H607">
        <f>IFERROR(VLOOKUP(C607,'Registre maintenance'!B:F,3,FALSE),"Non trouvé")</f>
        <v>-12.050063</v>
      </c>
      <c r="I607">
        <f>IFERROR(VLOOKUP(C607,'Registre maintenance'!B:F,4,FALSE),"Non trouvé")</f>
        <v>26.636987999999999</v>
      </c>
      <c r="J607" t="str">
        <f>IFERROR(VLOOKUP(C607,'Registre maintenance'!B:F,5,FALSE),"Non trouvé")</f>
        <v>3G</v>
      </c>
      <c r="K607" t="str">
        <f t="shared" si="88"/>
        <v>OK</v>
      </c>
    </row>
    <row r="608" spans="1:11" x14ac:dyDescent="0.3">
      <c r="A608" t="s">
        <v>1227</v>
      </c>
      <c r="B608" s="1">
        <v>45204.26458333333</v>
      </c>
      <c r="C608" t="s">
        <v>1179</v>
      </c>
      <c r="D608">
        <v>90</v>
      </c>
      <c r="E608" t="s">
        <v>797</v>
      </c>
      <c r="F608" s="4" t="str">
        <f t="shared" ref="F608:F609" si="94">F607</f>
        <v>Sud-Ubangi</v>
      </c>
      <c r="G608" s="4" t="str">
        <f>IFERROR(VLOOKUP(C608,'Registre maintenance'!B:F,2,FALSE),"Non trouvé")</f>
        <v>Non trouvé</v>
      </c>
      <c r="H608" t="str">
        <f>IFERROR(VLOOKUP(C608,'Registre maintenance'!B:F,3,FALSE),"Non trouvé")</f>
        <v>Non trouvé</v>
      </c>
      <c r="I608" t="str">
        <f>IFERROR(VLOOKUP(C608,'Registre maintenance'!B:F,4,FALSE),"Non trouvé")</f>
        <v>Non trouvé</v>
      </c>
      <c r="J608" t="str">
        <f>IFERROR(VLOOKUP(C608,'Registre maintenance'!B:F,5,FALSE),"Non trouvé")</f>
        <v>Non trouvé</v>
      </c>
      <c r="K608" t="str">
        <f t="shared" si="88"/>
        <v>Mismatch</v>
      </c>
    </row>
    <row r="609" spans="1:11" x14ac:dyDescent="0.3">
      <c r="A609" t="s">
        <v>1227</v>
      </c>
      <c r="B609" s="1">
        <v>45207.525000000001</v>
      </c>
      <c r="C609" t="s">
        <v>1251</v>
      </c>
      <c r="D609">
        <v>83</v>
      </c>
      <c r="E609" t="s">
        <v>792</v>
      </c>
      <c r="F609" s="4" t="str">
        <f t="shared" si="94"/>
        <v>Sud-Ubangi</v>
      </c>
      <c r="G609" s="4" t="str">
        <f>IFERROR(VLOOKUP(C609,'Registre maintenance'!B:F,2,FALSE),"Non trouvé")</f>
        <v>Non trouvé</v>
      </c>
      <c r="H609" t="str">
        <f>IFERROR(VLOOKUP(C609,'Registre maintenance'!B:F,3,FALSE),"Non trouvé")</f>
        <v>Non trouvé</v>
      </c>
      <c r="I609" t="str">
        <f>IFERROR(VLOOKUP(C609,'Registre maintenance'!B:F,4,FALSE),"Non trouvé")</f>
        <v>Non trouvé</v>
      </c>
      <c r="J609" t="str">
        <f>IFERROR(VLOOKUP(C609,'Registre maintenance'!B:F,5,FALSE),"Non trouvé")</f>
        <v>Non trouvé</v>
      </c>
      <c r="K609" t="str">
        <f t="shared" si="88"/>
        <v>Mismatch</v>
      </c>
    </row>
    <row r="610" spans="1:11" x14ac:dyDescent="0.3">
      <c r="A610" t="s">
        <v>1227</v>
      </c>
      <c r="B610" s="1">
        <v>45226.313194444447</v>
      </c>
      <c r="C610" t="s">
        <v>1252</v>
      </c>
      <c r="D610">
        <v>66</v>
      </c>
      <c r="E610" t="s">
        <v>797</v>
      </c>
      <c r="F610" s="4" t="s">
        <v>59</v>
      </c>
      <c r="G610" s="4" t="str">
        <f>IFERROR(VLOOKUP(C610,'Registre maintenance'!B:F,2,FALSE),"Non trouvé")</f>
        <v>Equateur</v>
      </c>
      <c r="H610">
        <f>IFERROR(VLOOKUP(C610,'Registre maintenance'!B:F,3,FALSE),"Non trouvé")</f>
        <v>-12.839263000000001</v>
      </c>
      <c r="I610">
        <f>IFERROR(VLOOKUP(C610,'Registre maintenance'!B:F,4,FALSE),"Non trouvé")</f>
        <v>12.355677</v>
      </c>
      <c r="J610" t="str">
        <f>IFERROR(VLOOKUP(C610,'Registre maintenance'!B:F,5,FALSE),"Non trouvé")</f>
        <v>3G</v>
      </c>
      <c r="K610" t="str">
        <f t="shared" si="88"/>
        <v>OK</v>
      </c>
    </row>
    <row r="611" spans="1:11" x14ac:dyDescent="0.3">
      <c r="A611" t="s">
        <v>1227</v>
      </c>
      <c r="B611" s="1">
        <v>45217.863194444442</v>
      </c>
      <c r="C611" t="s">
        <v>1253</v>
      </c>
      <c r="D611">
        <v>89</v>
      </c>
      <c r="E611" t="s">
        <v>792</v>
      </c>
      <c r="F611" s="4" t="str">
        <f>F610</f>
        <v>Equateur</v>
      </c>
      <c r="G611" s="4" t="str">
        <f>IFERROR(VLOOKUP(C611,'Registre maintenance'!B:F,2,FALSE),"Non trouvé")</f>
        <v>Non trouvé</v>
      </c>
      <c r="H611" t="str">
        <f>IFERROR(VLOOKUP(C611,'Registre maintenance'!B:F,3,FALSE),"Non trouvé")</f>
        <v>Non trouvé</v>
      </c>
      <c r="I611" t="str">
        <f>IFERROR(VLOOKUP(C611,'Registre maintenance'!B:F,4,FALSE),"Non trouvé")</f>
        <v>Non trouvé</v>
      </c>
      <c r="J611" t="str">
        <f>IFERROR(VLOOKUP(C611,'Registre maintenance'!B:F,5,FALSE),"Non trouvé")</f>
        <v>Non trouvé</v>
      </c>
      <c r="K611" t="str">
        <f t="shared" si="88"/>
        <v>Mismatch</v>
      </c>
    </row>
    <row r="612" spans="1:11" x14ac:dyDescent="0.3">
      <c r="A612" t="s">
        <v>1227</v>
      </c>
      <c r="B612" s="1">
        <v>45210.366666666669</v>
      </c>
      <c r="C612" t="s">
        <v>1254</v>
      </c>
      <c r="D612">
        <v>67</v>
      </c>
      <c r="E612" t="s">
        <v>795</v>
      </c>
      <c r="F612" s="4" t="s">
        <v>135</v>
      </c>
      <c r="G612" s="4" t="str">
        <f>IFERROR(VLOOKUP(C612,'Registre maintenance'!B:F,2,FALSE),"Non trouvé")</f>
        <v>Lualaba</v>
      </c>
      <c r="H612">
        <f>IFERROR(VLOOKUP(C612,'Registre maintenance'!B:F,3,FALSE),"Non trouvé")</f>
        <v>-8.0301989999999996</v>
      </c>
      <c r="I612">
        <f>IFERROR(VLOOKUP(C612,'Registre maintenance'!B:F,4,FALSE),"Non trouvé")</f>
        <v>24.122495000000001</v>
      </c>
      <c r="J612" t="str">
        <f>IFERROR(VLOOKUP(C612,'Registre maintenance'!B:F,5,FALSE),"Non trouvé")</f>
        <v>5G</v>
      </c>
      <c r="K612" t="str">
        <f t="shared" si="88"/>
        <v>OK</v>
      </c>
    </row>
    <row r="613" spans="1:11" x14ac:dyDescent="0.3">
      <c r="A613" t="s">
        <v>1227</v>
      </c>
      <c r="B613" s="1">
        <v>45226.656944444447</v>
      </c>
      <c r="C613" t="s">
        <v>1044</v>
      </c>
      <c r="D613">
        <v>7</v>
      </c>
      <c r="E613" t="s">
        <v>792</v>
      </c>
      <c r="F613" s="4" t="str">
        <f t="shared" ref="F613:F614" si="95">F612</f>
        <v>Lualaba</v>
      </c>
      <c r="G613" s="4" t="str">
        <f>IFERROR(VLOOKUP(C613,'Registre maintenance'!B:F,2,FALSE),"Non trouvé")</f>
        <v>Non trouvé</v>
      </c>
      <c r="H613" t="str">
        <f>IFERROR(VLOOKUP(C613,'Registre maintenance'!B:F,3,FALSE),"Non trouvé")</f>
        <v>Non trouvé</v>
      </c>
      <c r="I613" t="str">
        <f>IFERROR(VLOOKUP(C613,'Registre maintenance'!B:F,4,FALSE),"Non trouvé")</f>
        <v>Non trouvé</v>
      </c>
      <c r="J613" t="str">
        <f>IFERROR(VLOOKUP(C613,'Registre maintenance'!B:F,5,FALSE),"Non trouvé")</f>
        <v>Non trouvé</v>
      </c>
      <c r="K613" t="str">
        <f t="shared" si="88"/>
        <v>Mismatch</v>
      </c>
    </row>
    <row r="614" spans="1:11" x14ac:dyDescent="0.3">
      <c r="A614" t="s">
        <v>1255</v>
      </c>
      <c r="B614" s="1">
        <v>45224.963888888888</v>
      </c>
      <c r="C614" t="s">
        <v>1256</v>
      </c>
      <c r="D614">
        <v>83</v>
      </c>
      <c r="E614" t="s">
        <v>795</v>
      </c>
      <c r="F614" s="4" t="str">
        <f t="shared" si="95"/>
        <v>Lualaba</v>
      </c>
      <c r="G614" s="4" t="str">
        <f>IFERROR(VLOOKUP(C614,'Registre maintenance'!B:F,2,FALSE),"Non trouvé")</f>
        <v>Non trouvé</v>
      </c>
      <c r="H614" t="str">
        <f>IFERROR(VLOOKUP(C614,'Registre maintenance'!B:F,3,FALSE),"Non trouvé")</f>
        <v>Non trouvé</v>
      </c>
      <c r="I614" t="str">
        <f>IFERROR(VLOOKUP(C614,'Registre maintenance'!B:F,4,FALSE),"Non trouvé")</f>
        <v>Non trouvé</v>
      </c>
      <c r="J614" t="str">
        <f>IFERROR(VLOOKUP(C614,'Registre maintenance'!B:F,5,FALSE),"Non trouvé")</f>
        <v>Non trouvé</v>
      </c>
      <c r="K614" t="str">
        <f t="shared" si="88"/>
        <v>Mismatch</v>
      </c>
    </row>
    <row r="615" spans="1:11" x14ac:dyDescent="0.3">
      <c r="A615" t="s">
        <v>1255</v>
      </c>
      <c r="B615" s="1">
        <v>45225.948611111111</v>
      </c>
      <c r="C615" t="s">
        <v>1257</v>
      </c>
      <c r="D615">
        <v>30</v>
      </c>
      <c r="E615" t="s">
        <v>792</v>
      </c>
      <c r="F615" s="4" t="s">
        <v>39</v>
      </c>
      <c r="G615" s="4" t="str">
        <f>IFERROR(VLOOKUP(C615,'Registre maintenance'!B:F,2,FALSE),"Non trouvé")</f>
        <v>Kwango</v>
      </c>
      <c r="H615">
        <f>IFERROR(VLOOKUP(C615,'Registre maintenance'!B:F,3,FALSE),"Non trouvé")</f>
        <v>-10.653247</v>
      </c>
      <c r="I615">
        <f>IFERROR(VLOOKUP(C615,'Registre maintenance'!B:F,4,FALSE),"Non trouvé")</f>
        <v>14.685601</v>
      </c>
      <c r="J615" t="str">
        <f>IFERROR(VLOOKUP(C615,'Registre maintenance'!B:F,5,FALSE),"Non trouvé")</f>
        <v>4G</v>
      </c>
      <c r="K615" t="str">
        <f t="shared" si="88"/>
        <v>OK</v>
      </c>
    </row>
    <row r="616" spans="1:11" x14ac:dyDescent="0.3">
      <c r="A616" t="s">
        <v>1255</v>
      </c>
      <c r="B616" s="1">
        <v>45202.699305555558</v>
      </c>
      <c r="C616" t="s">
        <v>1258</v>
      </c>
      <c r="D616">
        <v>63</v>
      </c>
      <c r="E616" t="s">
        <v>795</v>
      </c>
      <c r="F616" s="4" t="s">
        <v>72</v>
      </c>
      <c r="G616" s="4" t="str">
        <f>IFERROR(VLOOKUP(C616,'Registre maintenance'!B:F,2,FALSE),"Non trouvé")</f>
        <v>Tshopo</v>
      </c>
      <c r="H616">
        <f>IFERROR(VLOOKUP(C616,'Registre maintenance'!B:F,3,FALSE),"Non trouvé")</f>
        <v>1.400674</v>
      </c>
      <c r="I616">
        <f>IFERROR(VLOOKUP(C616,'Registre maintenance'!B:F,4,FALSE),"Non trouvé")</f>
        <v>13.503126999999999</v>
      </c>
      <c r="J616" t="str">
        <f>IFERROR(VLOOKUP(C616,'Registre maintenance'!B:F,5,FALSE),"Non trouvé")</f>
        <v>5G</v>
      </c>
      <c r="K616" t="str">
        <f t="shared" si="88"/>
        <v>OK</v>
      </c>
    </row>
    <row r="617" spans="1:11" x14ac:dyDescent="0.3">
      <c r="A617" t="s">
        <v>1255</v>
      </c>
      <c r="B617" s="1">
        <v>45211.04583333333</v>
      </c>
      <c r="C617" t="s">
        <v>1101</v>
      </c>
      <c r="D617">
        <v>18</v>
      </c>
      <c r="E617" t="s">
        <v>797</v>
      </c>
      <c r="F617" s="4" t="s">
        <v>15</v>
      </c>
      <c r="G617" s="4" t="str">
        <f>IFERROR(VLOOKUP(C617,'Registre maintenance'!B:F,2,FALSE),"Non trouvé")</f>
        <v>Mongala</v>
      </c>
      <c r="H617">
        <f>IFERROR(VLOOKUP(C617,'Registre maintenance'!B:F,3,FALSE),"Non trouvé")</f>
        <v>-5.3762689999999997</v>
      </c>
      <c r="I617">
        <f>IFERROR(VLOOKUP(C617,'Registre maintenance'!B:F,4,FALSE),"Non trouvé")</f>
        <v>28.189575999999999</v>
      </c>
      <c r="J617" t="str">
        <f>IFERROR(VLOOKUP(C617,'Registre maintenance'!B:F,5,FALSE),"Non trouvé")</f>
        <v>5G</v>
      </c>
      <c r="K617" t="str">
        <f t="shared" si="88"/>
        <v>OK</v>
      </c>
    </row>
    <row r="618" spans="1:11" x14ac:dyDescent="0.3">
      <c r="A618" t="s">
        <v>1255</v>
      </c>
      <c r="B618" s="1">
        <v>45213.328472222223</v>
      </c>
      <c r="C618" t="s">
        <v>1259</v>
      </c>
      <c r="D618">
        <v>22</v>
      </c>
      <c r="E618" t="s">
        <v>797</v>
      </c>
      <c r="F618" s="4" t="str">
        <f t="shared" ref="F618:F620" si="96">F617</f>
        <v>Mongala</v>
      </c>
      <c r="G618" s="4" t="str">
        <f>IFERROR(VLOOKUP(C618,'Registre maintenance'!B:F,2,FALSE),"Non trouvé")</f>
        <v>Non trouvé</v>
      </c>
      <c r="H618" t="str">
        <f>IFERROR(VLOOKUP(C618,'Registre maintenance'!B:F,3,FALSE),"Non trouvé")</f>
        <v>Non trouvé</v>
      </c>
      <c r="I618" t="str">
        <f>IFERROR(VLOOKUP(C618,'Registre maintenance'!B:F,4,FALSE),"Non trouvé")</f>
        <v>Non trouvé</v>
      </c>
      <c r="J618" t="str">
        <f>IFERROR(VLOOKUP(C618,'Registre maintenance'!B:F,5,FALSE),"Non trouvé")</f>
        <v>Non trouvé</v>
      </c>
      <c r="K618" t="str">
        <f t="shared" si="88"/>
        <v>Mismatch</v>
      </c>
    </row>
    <row r="619" spans="1:11" x14ac:dyDescent="0.3">
      <c r="A619" t="s">
        <v>1255</v>
      </c>
      <c r="B619" s="1">
        <v>45202.443055555559</v>
      </c>
      <c r="C619" t="s">
        <v>1171</v>
      </c>
      <c r="D619">
        <v>43</v>
      </c>
      <c r="E619" t="s">
        <v>792</v>
      </c>
      <c r="F619" s="4" t="str">
        <f t="shared" si="96"/>
        <v>Mongala</v>
      </c>
      <c r="G619" s="4" t="str">
        <f>IFERROR(VLOOKUP(C619,'Registre maintenance'!B:F,2,FALSE),"Non trouvé")</f>
        <v>Non trouvé</v>
      </c>
      <c r="H619" t="str">
        <f>IFERROR(VLOOKUP(C619,'Registre maintenance'!B:F,3,FALSE),"Non trouvé")</f>
        <v>Non trouvé</v>
      </c>
      <c r="I619" t="str">
        <f>IFERROR(VLOOKUP(C619,'Registre maintenance'!B:F,4,FALSE),"Non trouvé")</f>
        <v>Non trouvé</v>
      </c>
      <c r="J619" t="str">
        <f>IFERROR(VLOOKUP(C619,'Registre maintenance'!B:F,5,FALSE),"Non trouvé")</f>
        <v>Non trouvé</v>
      </c>
      <c r="K619" t="str">
        <f t="shared" si="88"/>
        <v>Mismatch</v>
      </c>
    </row>
    <row r="620" spans="1:11" x14ac:dyDescent="0.3">
      <c r="A620" t="s">
        <v>1255</v>
      </c>
      <c r="B620" s="1">
        <v>45224.818055555559</v>
      </c>
      <c r="C620" t="s">
        <v>1014</v>
      </c>
      <c r="D620">
        <v>5</v>
      </c>
      <c r="E620" t="s">
        <v>797</v>
      </c>
      <c r="F620" s="4" t="str">
        <f t="shared" si="96"/>
        <v>Mongala</v>
      </c>
      <c r="G620" s="4" t="str">
        <f>IFERROR(VLOOKUP(C620,'Registre maintenance'!B:F,2,FALSE),"Non trouvé")</f>
        <v>Non trouvé</v>
      </c>
      <c r="H620" t="str">
        <f>IFERROR(VLOOKUP(C620,'Registre maintenance'!B:F,3,FALSE),"Non trouvé")</f>
        <v>Non trouvé</v>
      </c>
      <c r="I620" t="str">
        <f>IFERROR(VLOOKUP(C620,'Registre maintenance'!B:F,4,FALSE),"Non trouvé")</f>
        <v>Non trouvé</v>
      </c>
      <c r="J620" t="str">
        <f>IFERROR(VLOOKUP(C620,'Registre maintenance'!B:F,5,FALSE),"Non trouvé")</f>
        <v>Non trouvé</v>
      </c>
      <c r="K620" t="str">
        <f t="shared" si="88"/>
        <v>Mismatch</v>
      </c>
    </row>
    <row r="621" spans="1:11" x14ac:dyDescent="0.3">
      <c r="A621" t="s">
        <v>1255</v>
      </c>
      <c r="B621" s="1">
        <v>45212.417361111111</v>
      </c>
      <c r="C621" t="s">
        <v>1260</v>
      </c>
      <c r="D621">
        <v>55</v>
      </c>
      <c r="E621" t="s">
        <v>795</v>
      </c>
      <c r="F621" s="4" t="s">
        <v>77</v>
      </c>
      <c r="G621" s="4" t="str">
        <f>IFERROR(VLOOKUP(C621,'Registre maintenance'!B:F,2,FALSE),"Non trouvé")</f>
        <v>Maniema</v>
      </c>
      <c r="H621">
        <f>IFERROR(VLOOKUP(C621,'Registre maintenance'!B:F,3,FALSE),"Non trouvé")</f>
        <v>1.938083</v>
      </c>
      <c r="I621">
        <f>IFERROR(VLOOKUP(C621,'Registre maintenance'!B:F,4,FALSE),"Non trouvé")</f>
        <v>28.25281</v>
      </c>
      <c r="J621" t="str">
        <f>IFERROR(VLOOKUP(C621,'Registre maintenance'!B:F,5,FALSE),"Non trouvé")</f>
        <v>4G</v>
      </c>
      <c r="K621" t="str">
        <f t="shared" si="88"/>
        <v>OK</v>
      </c>
    </row>
    <row r="622" spans="1:11" x14ac:dyDescent="0.3">
      <c r="A622" t="s">
        <v>1255</v>
      </c>
      <c r="B622" s="1">
        <v>45220.368055555547</v>
      </c>
      <c r="C622" t="s">
        <v>1261</v>
      </c>
      <c r="D622">
        <v>47</v>
      </c>
      <c r="E622" t="s">
        <v>797</v>
      </c>
      <c r="F622" s="4" t="str">
        <f>F621</f>
        <v>Maniema</v>
      </c>
      <c r="G622" s="4" t="str">
        <f>IFERROR(VLOOKUP(C622,'Registre maintenance'!B:F,2,FALSE),"Non trouvé")</f>
        <v>Non trouvé</v>
      </c>
      <c r="H622" t="str">
        <f>IFERROR(VLOOKUP(C622,'Registre maintenance'!B:F,3,FALSE),"Non trouvé")</f>
        <v>Non trouvé</v>
      </c>
      <c r="I622" t="str">
        <f>IFERROR(VLOOKUP(C622,'Registre maintenance'!B:F,4,FALSE),"Non trouvé")</f>
        <v>Non trouvé</v>
      </c>
      <c r="J622" t="str">
        <f>IFERROR(VLOOKUP(C622,'Registre maintenance'!B:F,5,FALSE),"Non trouvé")</f>
        <v>Non trouvé</v>
      </c>
      <c r="K622" t="str">
        <f t="shared" si="88"/>
        <v>Mismatch</v>
      </c>
    </row>
    <row r="623" spans="1:11" x14ac:dyDescent="0.3">
      <c r="A623" t="s">
        <v>1255</v>
      </c>
      <c r="B623" s="1">
        <v>45214.634722222218</v>
      </c>
      <c r="C623" t="s">
        <v>1262</v>
      </c>
      <c r="D623">
        <v>112</v>
      </c>
      <c r="E623" t="s">
        <v>795</v>
      </c>
      <c r="F623" s="4" t="s">
        <v>59</v>
      </c>
      <c r="G623" s="4" t="str">
        <f>IFERROR(VLOOKUP(C623,'Registre maintenance'!B:F,2,FALSE),"Non trouvé")</f>
        <v>Equateur</v>
      </c>
      <c r="H623">
        <f>IFERROR(VLOOKUP(C623,'Registre maintenance'!B:F,3,FALSE),"Non trouvé")</f>
        <v>-6.1490739999999997</v>
      </c>
      <c r="I623">
        <f>IFERROR(VLOOKUP(C623,'Registre maintenance'!B:F,4,FALSE),"Non trouvé")</f>
        <v>23.304411000000002</v>
      </c>
      <c r="J623" t="str">
        <f>IFERROR(VLOOKUP(C623,'Registre maintenance'!B:F,5,FALSE),"Non trouvé")</f>
        <v>5G</v>
      </c>
      <c r="K623" t="str">
        <f t="shared" si="88"/>
        <v>OK</v>
      </c>
    </row>
    <row r="624" spans="1:11" x14ac:dyDescent="0.3">
      <c r="A624" t="s">
        <v>1255</v>
      </c>
      <c r="B624" s="1">
        <v>45211.724999999999</v>
      </c>
      <c r="C624" t="s">
        <v>1102</v>
      </c>
      <c r="D624">
        <v>84</v>
      </c>
      <c r="E624" t="s">
        <v>797</v>
      </c>
      <c r="F624" s="4" t="str">
        <f>F623</f>
        <v>Equateur</v>
      </c>
      <c r="G624" s="4" t="str">
        <f>IFERROR(VLOOKUP(C624,'Registre maintenance'!B:F,2,FALSE),"Non trouvé")</f>
        <v>Non trouvé</v>
      </c>
      <c r="H624" t="str">
        <f>IFERROR(VLOOKUP(C624,'Registre maintenance'!B:F,3,FALSE),"Non trouvé")</f>
        <v>Non trouvé</v>
      </c>
      <c r="I624" t="str">
        <f>IFERROR(VLOOKUP(C624,'Registre maintenance'!B:F,4,FALSE),"Non trouvé")</f>
        <v>Non trouvé</v>
      </c>
      <c r="J624" t="str">
        <f>IFERROR(VLOOKUP(C624,'Registre maintenance'!B:F,5,FALSE),"Non trouvé")</f>
        <v>Non trouvé</v>
      </c>
      <c r="K624" t="str">
        <f t="shared" si="88"/>
        <v>Mismatch</v>
      </c>
    </row>
    <row r="625" spans="1:11" x14ac:dyDescent="0.3">
      <c r="A625" t="s">
        <v>1255</v>
      </c>
      <c r="B625" s="1">
        <v>45213.238194444442</v>
      </c>
      <c r="C625" t="s">
        <v>1263</v>
      </c>
      <c r="D625">
        <v>53</v>
      </c>
      <c r="E625" t="s">
        <v>795</v>
      </c>
      <c r="F625" s="4" t="s">
        <v>87</v>
      </c>
      <c r="G625" s="4" t="str">
        <f>IFERROR(VLOOKUP(C625,'Registre maintenance'!B:F,2,FALSE),"Non trouvé")</f>
        <v>Nord-Ubangi</v>
      </c>
      <c r="H625">
        <f>IFERROR(VLOOKUP(C625,'Registre maintenance'!B:F,3,FALSE),"Non trouvé")</f>
        <v>-8.4985189999999999</v>
      </c>
      <c r="I625">
        <f>IFERROR(VLOOKUP(C625,'Registre maintenance'!B:F,4,FALSE),"Non trouvé")</f>
        <v>12.929456999999999</v>
      </c>
      <c r="J625" t="str">
        <f>IFERROR(VLOOKUP(C625,'Registre maintenance'!B:F,5,FALSE),"Non trouvé")</f>
        <v>4G</v>
      </c>
      <c r="K625" t="str">
        <f t="shared" si="88"/>
        <v>OK</v>
      </c>
    </row>
    <row r="626" spans="1:11" x14ac:dyDescent="0.3">
      <c r="A626" t="s">
        <v>1255</v>
      </c>
      <c r="B626" s="1">
        <v>45218.89166666667</v>
      </c>
      <c r="C626" t="s">
        <v>872</v>
      </c>
      <c r="D626">
        <v>107</v>
      </c>
      <c r="E626" t="s">
        <v>795</v>
      </c>
      <c r="F626" s="4" t="str">
        <f>F625</f>
        <v>Nord-Ubangi</v>
      </c>
      <c r="G626" s="4" t="str">
        <f>IFERROR(VLOOKUP(C626,'Registre maintenance'!B:F,2,FALSE),"Non trouvé")</f>
        <v>Non trouvé</v>
      </c>
      <c r="H626" t="str">
        <f>IFERROR(VLOOKUP(C626,'Registre maintenance'!B:F,3,FALSE),"Non trouvé")</f>
        <v>Non trouvé</v>
      </c>
      <c r="I626" t="str">
        <f>IFERROR(VLOOKUP(C626,'Registre maintenance'!B:F,4,FALSE),"Non trouvé")</f>
        <v>Non trouvé</v>
      </c>
      <c r="J626" t="str">
        <f>IFERROR(VLOOKUP(C626,'Registre maintenance'!B:F,5,FALSE),"Non trouvé")</f>
        <v>Non trouvé</v>
      </c>
      <c r="K626" t="str">
        <f t="shared" si="88"/>
        <v>Mismatch</v>
      </c>
    </row>
    <row r="627" spans="1:11" x14ac:dyDescent="0.3">
      <c r="A627" t="s">
        <v>1255</v>
      </c>
      <c r="B627" s="1">
        <v>45202.804166666669</v>
      </c>
      <c r="C627" t="s">
        <v>1264</v>
      </c>
      <c r="D627">
        <v>115</v>
      </c>
      <c r="E627" t="s">
        <v>795</v>
      </c>
      <c r="F627" s="4" t="s">
        <v>125</v>
      </c>
      <c r="G627" s="4" t="str">
        <f>IFERROR(VLOOKUP(C627,'Registre maintenance'!B:F,2,FALSE),"Non trouvé")</f>
        <v>Haut-Uele</v>
      </c>
      <c r="H627">
        <f>IFERROR(VLOOKUP(C627,'Registre maintenance'!B:F,3,FALSE),"Non trouvé")</f>
        <v>1.2391989999999999</v>
      </c>
      <c r="I627">
        <f>IFERROR(VLOOKUP(C627,'Registre maintenance'!B:F,4,FALSE),"Non trouvé")</f>
        <v>15.386718999999999</v>
      </c>
      <c r="J627" t="str">
        <f>IFERROR(VLOOKUP(C627,'Registre maintenance'!B:F,5,FALSE),"Non trouvé")</f>
        <v>5G</v>
      </c>
      <c r="K627" t="str">
        <f t="shared" si="88"/>
        <v>OK</v>
      </c>
    </row>
    <row r="628" spans="1:11" x14ac:dyDescent="0.3">
      <c r="A628" t="s">
        <v>1255</v>
      </c>
      <c r="B628" s="1">
        <v>45225.322916666657</v>
      </c>
      <c r="C628" t="s">
        <v>1265</v>
      </c>
      <c r="D628">
        <v>47</v>
      </c>
      <c r="E628" t="s">
        <v>797</v>
      </c>
      <c r="F628" s="4" t="str">
        <f t="shared" ref="F628:F629" si="97">F627</f>
        <v>Haut-Uele</v>
      </c>
      <c r="G628" s="4" t="str">
        <f>IFERROR(VLOOKUP(C628,'Registre maintenance'!B:F,2,FALSE),"Non trouvé")</f>
        <v>Non trouvé</v>
      </c>
      <c r="H628" t="str">
        <f>IFERROR(VLOOKUP(C628,'Registre maintenance'!B:F,3,FALSE),"Non trouvé")</f>
        <v>Non trouvé</v>
      </c>
      <c r="I628" t="str">
        <f>IFERROR(VLOOKUP(C628,'Registre maintenance'!B:F,4,FALSE),"Non trouvé")</f>
        <v>Non trouvé</v>
      </c>
      <c r="J628" t="str">
        <f>IFERROR(VLOOKUP(C628,'Registre maintenance'!B:F,5,FALSE),"Non trouvé")</f>
        <v>Non trouvé</v>
      </c>
      <c r="K628" t="str">
        <f t="shared" si="88"/>
        <v>Mismatch</v>
      </c>
    </row>
    <row r="629" spans="1:11" x14ac:dyDescent="0.3">
      <c r="A629" t="s">
        <v>1255</v>
      </c>
      <c r="B629" s="1">
        <v>45202.095138888893</v>
      </c>
      <c r="C629" t="s">
        <v>1266</v>
      </c>
      <c r="D629">
        <v>61</v>
      </c>
      <c r="E629" t="s">
        <v>795</v>
      </c>
      <c r="F629" s="4" t="str">
        <f t="shared" si="97"/>
        <v>Haut-Uele</v>
      </c>
      <c r="G629" s="4" t="str">
        <f>IFERROR(VLOOKUP(C629,'Registre maintenance'!B:F,2,FALSE),"Non trouvé")</f>
        <v>Non trouvé</v>
      </c>
      <c r="H629" t="str">
        <f>IFERROR(VLOOKUP(C629,'Registre maintenance'!B:F,3,FALSE),"Non trouvé")</f>
        <v>Non trouvé</v>
      </c>
      <c r="I629" t="str">
        <f>IFERROR(VLOOKUP(C629,'Registre maintenance'!B:F,4,FALSE),"Non trouvé")</f>
        <v>Non trouvé</v>
      </c>
      <c r="J629" t="str">
        <f>IFERROR(VLOOKUP(C629,'Registre maintenance'!B:F,5,FALSE),"Non trouvé")</f>
        <v>Non trouvé</v>
      </c>
      <c r="K629" t="str">
        <f t="shared" si="88"/>
        <v>Mismatch</v>
      </c>
    </row>
    <row r="630" spans="1:11" x14ac:dyDescent="0.3">
      <c r="A630" t="s">
        <v>1255</v>
      </c>
      <c r="B630" s="1">
        <v>45204.53125</v>
      </c>
      <c r="C630" t="s">
        <v>960</v>
      </c>
      <c r="D630">
        <v>47</v>
      </c>
      <c r="E630" t="s">
        <v>792</v>
      </c>
      <c r="F630" s="4" t="s">
        <v>129</v>
      </c>
      <c r="G630" s="4" t="str">
        <f>IFERROR(VLOOKUP(C630,'Registre maintenance'!B:F,2,FALSE),"Non trouvé")</f>
        <v>Nord-Kivu</v>
      </c>
      <c r="H630">
        <f>IFERROR(VLOOKUP(C630,'Registre maintenance'!B:F,3,FALSE),"Non trouvé")</f>
        <v>-12.336202</v>
      </c>
      <c r="I630">
        <f>IFERROR(VLOOKUP(C630,'Registre maintenance'!B:F,4,FALSE),"Non trouvé")</f>
        <v>13.693683999999999</v>
      </c>
      <c r="J630" t="str">
        <f>IFERROR(VLOOKUP(C630,'Registre maintenance'!B:F,5,FALSE),"Non trouvé")</f>
        <v>5G</v>
      </c>
      <c r="K630" t="str">
        <f t="shared" si="88"/>
        <v>OK</v>
      </c>
    </row>
    <row r="631" spans="1:11" x14ac:dyDescent="0.3">
      <c r="A631" t="s">
        <v>1255</v>
      </c>
      <c r="B631" s="1">
        <v>45225.839583333327</v>
      </c>
      <c r="C631" t="s">
        <v>1267</v>
      </c>
      <c r="D631">
        <v>60</v>
      </c>
      <c r="E631" t="s">
        <v>797</v>
      </c>
      <c r="F631" s="4" t="str">
        <f t="shared" ref="F631:F632" si="98">F630</f>
        <v>Nord-Kivu</v>
      </c>
      <c r="G631" s="4" t="str">
        <f>IFERROR(VLOOKUP(C631,'Registre maintenance'!B:F,2,FALSE),"Non trouvé")</f>
        <v>Non trouvé</v>
      </c>
      <c r="H631" t="str">
        <f>IFERROR(VLOOKUP(C631,'Registre maintenance'!B:F,3,FALSE),"Non trouvé")</f>
        <v>Non trouvé</v>
      </c>
      <c r="I631" t="str">
        <f>IFERROR(VLOOKUP(C631,'Registre maintenance'!B:F,4,FALSE),"Non trouvé")</f>
        <v>Non trouvé</v>
      </c>
      <c r="J631" t="str">
        <f>IFERROR(VLOOKUP(C631,'Registre maintenance'!B:F,5,FALSE),"Non trouvé")</f>
        <v>Non trouvé</v>
      </c>
      <c r="K631" t="str">
        <f t="shared" si="88"/>
        <v>Mismatch</v>
      </c>
    </row>
    <row r="632" spans="1:11" x14ac:dyDescent="0.3">
      <c r="A632" t="s">
        <v>1255</v>
      </c>
      <c r="B632" s="1">
        <v>45223.513888888891</v>
      </c>
      <c r="C632" t="s">
        <v>1138</v>
      </c>
      <c r="D632">
        <v>109</v>
      </c>
      <c r="E632" t="s">
        <v>795</v>
      </c>
      <c r="F632" s="4" t="str">
        <f t="shared" si="98"/>
        <v>Nord-Kivu</v>
      </c>
      <c r="G632" s="4" t="str">
        <f>IFERROR(VLOOKUP(C632,'Registre maintenance'!B:F,2,FALSE),"Non trouvé")</f>
        <v>Non trouvé</v>
      </c>
      <c r="H632" t="str">
        <f>IFERROR(VLOOKUP(C632,'Registre maintenance'!B:F,3,FALSE),"Non trouvé")</f>
        <v>Non trouvé</v>
      </c>
      <c r="I632" t="str">
        <f>IFERROR(VLOOKUP(C632,'Registre maintenance'!B:F,4,FALSE),"Non trouvé")</f>
        <v>Non trouvé</v>
      </c>
      <c r="J632" t="str">
        <f>IFERROR(VLOOKUP(C632,'Registre maintenance'!B:F,5,FALSE),"Non trouvé")</f>
        <v>Non trouvé</v>
      </c>
      <c r="K632" t="str">
        <f t="shared" si="88"/>
        <v>Mismatch</v>
      </c>
    </row>
    <row r="633" spans="1:11" x14ac:dyDescent="0.3">
      <c r="A633" t="s">
        <v>1255</v>
      </c>
      <c r="B633" s="1">
        <v>45211.128472222219</v>
      </c>
      <c r="C633" t="s">
        <v>1268</v>
      </c>
      <c r="D633">
        <v>110</v>
      </c>
      <c r="E633" t="s">
        <v>795</v>
      </c>
      <c r="F633" s="4" t="s">
        <v>20</v>
      </c>
      <c r="G633" s="4" t="str">
        <f>IFERROR(VLOOKUP(C633,'Registre maintenance'!B:F,2,FALSE),"Non trouvé")</f>
        <v>Sud-Kivu</v>
      </c>
      <c r="H633">
        <f>IFERROR(VLOOKUP(C633,'Registre maintenance'!B:F,3,FALSE),"Non trouvé")</f>
        <v>2.453036</v>
      </c>
      <c r="I633">
        <f>IFERROR(VLOOKUP(C633,'Registre maintenance'!B:F,4,FALSE),"Non trouvé")</f>
        <v>20.555484</v>
      </c>
      <c r="J633" t="str">
        <f>IFERROR(VLOOKUP(C633,'Registre maintenance'!B:F,5,FALSE),"Non trouvé")</f>
        <v>5G</v>
      </c>
      <c r="K633" t="str">
        <f t="shared" si="88"/>
        <v>OK</v>
      </c>
    </row>
    <row r="634" spans="1:11" x14ac:dyDescent="0.3">
      <c r="A634" t="s">
        <v>1255</v>
      </c>
      <c r="B634" s="1">
        <v>45200.394444444442</v>
      </c>
      <c r="C634" t="s">
        <v>1094</v>
      </c>
      <c r="D634">
        <v>115</v>
      </c>
      <c r="E634" t="s">
        <v>795</v>
      </c>
      <c r="F634" s="4" t="str">
        <f>F633</f>
        <v>Sud-Kivu</v>
      </c>
      <c r="G634" s="4" t="str">
        <f>IFERROR(VLOOKUP(C634,'Registre maintenance'!B:F,2,FALSE),"Non trouvé")</f>
        <v>Non trouvé</v>
      </c>
      <c r="H634" t="str">
        <f>IFERROR(VLOOKUP(C634,'Registre maintenance'!B:F,3,FALSE),"Non trouvé")</f>
        <v>Non trouvé</v>
      </c>
      <c r="I634" t="str">
        <f>IFERROR(VLOOKUP(C634,'Registre maintenance'!B:F,4,FALSE),"Non trouvé")</f>
        <v>Non trouvé</v>
      </c>
      <c r="J634" t="str">
        <f>IFERROR(VLOOKUP(C634,'Registre maintenance'!B:F,5,FALSE),"Non trouvé")</f>
        <v>Non trouvé</v>
      </c>
      <c r="K634" t="str">
        <f t="shared" si="88"/>
        <v>Mismatch</v>
      </c>
    </row>
    <row r="635" spans="1:11" x14ac:dyDescent="0.3">
      <c r="A635" t="s">
        <v>1255</v>
      </c>
      <c r="B635" s="1">
        <v>45211.337500000001</v>
      </c>
      <c r="C635" t="s">
        <v>1269</v>
      </c>
      <c r="D635">
        <v>88</v>
      </c>
      <c r="E635" t="s">
        <v>795</v>
      </c>
      <c r="F635" s="4" t="s">
        <v>9</v>
      </c>
      <c r="G635" s="4" t="str">
        <f>IFERROR(VLOOKUP(C635,'Registre maintenance'!B:F,2,FALSE),"Non trouvé")</f>
        <v>Ituri</v>
      </c>
      <c r="H635">
        <f>IFERROR(VLOOKUP(C635,'Registre maintenance'!B:F,3,FALSE),"Non trouvé")</f>
        <v>-12.364127999999999</v>
      </c>
      <c r="I635">
        <f>IFERROR(VLOOKUP(C635,'Registre maintenance'!B:F,4,FALSE),"Non trouvé")</f>
        <v>19.576150999999999</v>
      </c>
      <c r="J635" t="str">
        <f>IFERROR(VLOOKUP(C635,'Registre maintenance'!B:F,5,FALSE),"Non trouvé")</f>
        <v>3G</v>
      </c>
      <c r="K635" t="str">
        <f t="shared" si="88"/>
        <v>OK</v>
      </c>
    </row>
    <row r="636" spans="1:11" x14ac:dyDescent="0.3">
      <c r="A636" t="s">
        <v>1255</v>
      </c>
      <c r="B636" s="1">
        <v>45204.09097222222</v>
      </c>
      <c r="C636" t="s">
        <v>1270</v>
      </c>
      <c r="D636">
        <v>81</v>
      </c>
      <c r="E636" t="s">
        <v>792</v>
      </c>
      <c r="F636" s="4" t="str">
        <f t="shared" ref="F636:F640" si="99">F635</f>
        <v>Ituri</v>
      </c>
      <c r="G636" s="4" t="str">
        <f>IFERROR(VLOOKUP(C636,'Registre maintenance'!B:F,2,FALSE),"Non trouvé")</f>
        <v>Non trouvé</v>
      </c>
      <c r="H636" t="str">
        <f>IFERROR(VLOOKUP(C636,'Registre maintenance'!B:F,3,FALSE),"Non trouvé")</f>
        <v>Non trouvé</v>
      </c>
      <c r="I636" t="str">
        <f>IFERROR(VLOOKUP(C636,'Registre maintenance'!B:F,4,FALSE),"Non trouvé")</f>
        <v>Non trouvé</v>
      </c>
      <c r="J636" t="str">
        <f>IFERROR(VLOOKUP(C636,'Registre maintenance'!B:F,5,FALSE),"Non trouvé")</f>
        <v>Non trouvé</v>
      </c>
      <c r="K636" t="str">
        <f t="shared" si="88"/>
        <v>Mismatch</v>
      </c>
    </row>
    <row r="637" spans="1:11" x14ac:dyDescent="0.3">
      <c r="A637" t="s">
        <v>1255</v>
      </c>
      <c r="B637" s="1">
        <v>45213.607638888891</v>
      </c>
      <c r="C637" t="s">
        <v>1271</v>
      </c>
      <c r="D637">
        <v>22</v>
      </c>
      <c r="E637" t="s">
        <v>792</v>
      </c>
      <c r="F637" s="4" t="str">
        <f t="shared" si="99"/>
        <v>Ituri</v>
      </c>
      <c r="G637" s="4" t="str">
        <f>IFERROR(VLOOKUP(C637,'Registre maintenance'!B:F,2,FALSE),"Non trouvé")</f>
        <v>Non trouvé</v>
      </c>
      <c r="H637" t="str">
        <f>IFERROR(VLOOKUP(C637,'Registre maintenance'!B:F,3,FALSE),"Non trouvé")</f>
        <v>Non trouvé</v>
      </c>
      <c r="I637" t="str">
        <f>IFERROR(VLOOKUP(C637,'Registre maintenance'!B:F,4,FALSE),"Non trouvé")</f>
        <v>Non trouvé</v>
      </c>
      <c r="J637" t="str">
        <f>IFERROR(VLOOKUP(C637,'Registre maintenance'!B:F,5,FALSE),"Non trouvé")</f>
        <v>Non trouvé</v>
      </c>
      <c r="K637" t="str">
        <f t="shared" si="88"/>
        <v>Mismatch</v>
      </c>
    </row>
    <row r="638" spans="1:11" x14ac:dyDescent="0.3">
      <c r="A638" t="s">
        <v>1255</v>
      </c>
      <c r="B638" s="1">
        <v>45217.68472222222</v>
      </c>
      <c r="C638" t="s">
        <v>991</v>
      </c>
      <c r="D638">
        <v>43</v>
      </c>
      <c r="E638" t="s">
        <v>792</v>
      </c>
      <c r="F638" s="4" t="str">
        <f t="shared" si="99"/>
        <v>Ituri</v>
      </c>
      <c r="G638" s="4" t="str">
        <f>IFERROR(VLOOKUP(C638,'Registre maintenance'!B:F,2,FALSE),"Non trouvé")</f>
        <v>Non trouvé</v>
      </c>
      <c r="H638" t="str">
        <f>IFERROR(VLOOKUP(C638,'Registre maintenance'!B:F,3,FALSE),"Non trouvé")</f>
        <v>Non trouvé</v>
      </c>
      <c r="I638" t="str">
        <f>IFERROR(VLOOKUP(C638,'Registre maintenance'!B:F,4,FALSE),"Non trouvé")</f>
        <v>Non trouvé</v>
      </c>
      <c r="J638" t="str">
        <f>IFERROR(VLOOKUP(C638,'Registre maintenance'!B:F,5,FALSE),"Non trouvé")</f>
        <v>Non trouvé</v>
      </c>
      <c r="K638" t="str">
        <f t="shared" si="88"/>
        <v>Mismatch</v>
      </c>
    </row>
    <row r="639" spans="1:11" x14ac:dyDescent="0.3">
      <c r="A639" t="s">
        <v>1255</v>
      </c>
      <c r="B639" s="1">
        <v>45203.003472222219</v>
      </c>
      <c r="C639" t="s">
        <v>1272</v>
      </c>
      <c r="D639">
        <v>46</v>
      </c>
      <c r="E639" t="s">
        <v>795</v>
      </c>
      <c r="F639" s="4" t="str">
        <f t="shared" si="99"/>
        <v>Ituri</v>
      </c>
      <c r="G639" s="4" t="str">
        <f>IFERROR(VLOOKUP(C639,'Registre maintenance'!B:F,2,FALSE),"Non trouvé")</f>
        <v>Non trouvé</v>
      </c>
      <c r="H639" t="str">
        <f>IFERROR(VLOOKUP(C639,'Registre maintenance'!B:F,3,FALSE),"Non trouvé")</f>
        <v>Non trouvé</v>
      </c>
      <c r="I639" t="str">
        <f>IFERROR(VLOOKUP(C639,'Registre maintenance'!B:F,4,FALSE),"Non trouvé")</f>
        <v>Non trouvé</v>
      </c>
      <c r="J639" t="str">
        <f>IFERROR(VLOOKUP(C639,'Registre maintenance'!B:F,5,FALSE),"Non trouvé")</f>
        <v>Non trouvé</v>
      </c>
      <c r="K639" t="str">
        <f t="shared" si="88"/>
        <v>Mismatch</v>
      </c>
    </row>
    <row r="640" spans="1:11" x14ac:dyDescent="0.3">
      <c r="A640" t="s">
        <v>1255</v>
      </c>
      <c r="B640" s="1">
        <v>45211.711805555547</v>
      </c>
      <c r="C640" t="s">
        <v>1273</v>
      </c>
      <c r="D640">
        <v>82</v>
      </c>
      <c r="E640" t="s">
        <v>795</v>
      </c>
      <c r="F640" s="4" t="str">
        <f t="shared" si="99"/>
        <v>Ituri</v>
      </c>
      <c r="G640" s="4" t="str">
        <f>IFERROR(VLOOKUP(C640,'Registre maintenance'!B:F,2,FALSE),"Non trouvé")</f>
        <v>Non trouvé</v>
      </c>
      <c r="H640" t="str">
        <f>IFERROR(VLOOKUP(C640,'Registre maintenance'!B:F,3,FALSE),"Non trouvé")</f>
        <v>Non trouvé</v>
      </c>
      <c r="I640" t="str">
        <f>IFERROR(VLOOKUP(C640,'Registre maintenance'!B:F,4,FALSE),"Non trouvé")</f>
        <v>Non trouvé</v>
      </c>
      <c r="J640" t="str">
        <f>IFERROR(VLOOKUP(C640,'Registre maintenance'!B:F,5,FALSE),"Non trouvé")</f>
        <v>Non trouvé</v>
      </c>
      <c r="K640" t="str">
        <f t="shared" si="88"/>
        <v>Mismatch</v>
      </c>
    </row>
    <row r="641" spans="1:11" x14ac:dyDescent="0.3">
      <c r="A641" t="s">
        <v>1255</v>
      </c>
      <c r="B641" s="1">
        <v>45219.826388888891</v>
      </c>
      <c r="C641" t="s">
        <v>832</v>
      </c>
      <c r="D641">
        <v>93</v>
      </c>
      <c r="E641" t="s">
        <v>797</v>
      </c>
      <c r="F641" s="4" t="s">
        <v>20</v>
      </c>
      <c r="G641" s="4" t="str">
        <f>IFERROR(VLOOKUP(C641,'Registre maintenance'!B:F,2,FALSE),"Non trouvé")</f>
        <v>Sud-Kivu</v>
      </c>
      <c r="H641">
        <f>IFERROR(VLOOKUP(C641,'Registre maintenance'!B:F,3,FALSE),"Non trouvé")</f>
        <v>4.2493650000000001</v>
      </c>
      <c r="I641">
        <f>IFERROR(VLOOKUP(C641,'Registre maintenance'!B:F,4,FALSE),"Non trouvé")</f>
        <v>28.355039999999999</v>
      </c>
      <c r="J641" t="str">
        <f>IFERROR(VLOOKUP(C641,'Registre maintenance'!B:F,5,FALSE),"Non trouvé")</f>
        <v>3G</v>
      </c>
      <c r="K641" t="str">
        <f t="shared" si="88"/>
        <v>OK</v>
      </c>
    </row>
    <row r="642" spans="1:11" x14ac:dyDescent="0.3">
      <c r="A642" t="s">
        <v>1255</v>
      </c>
      <c r="B642" s="1">
        <v>45210.5</v>
      </c>
      <c r="C642" t="s">
        <v>1274</v>
      </c>
      <c r="D642">
        <v>30</v>
      </c>
      <c r="E642" t="s">
        <v>792</v>
      </c>
      <c r="F642" s="4" t="str">
        <f>F641</f>
        <v>Sud-Kivu</v>
      </c>
      <c r="G642" s="4" t="str">
        <f>IFERROR(VLOOKUP(C642,'Registre maintenance'!B:F,2,FALSE),"Non trouvé")</f>
        <v>Non trouvé</v>
      </c>
      <c r="H642" t="str">
        <f>IFERROR(VLOOKUP(C642,'Registre maintenance'!B:F,3,FALSE),"Non trouvé")</f>
        <v>Non trouvé</v>
      </c>
      <c r="I642" t="str">
        <f>IFERROR(VLOOKUP(C642,'Registre maintenance'!B:F,4,FALSE),"Non trouvé")</f>
        <v>Non trouvé</v>
      </c>
      <c r="J642" t="str">
        <f>IFERROR(VLOOKUP(C642,'Registre maintenance'!B:F,5,FALSE),"Non trouvé")</f>
        <v>Non trouvé</v>
      </c>
      <c r="K642" t="str">
        <f t="shared" ref="K642:K705" si="100">IF(F642=G642,"OK","Mismatch")</f>
        <v>Mismatch</v>
      </c>
    </row>
    <row r="643" spans="1:11" x14ac:dyDescent="0.3">
      <c r="A643" t="s">
        <v>1255</v>
      </c>
      <c r="B643" s="1">
        <v>45209.558333333327</v>
      </c>
      <c r="C643" t="s">
        <v>1275</v>
      </c>
      <c r="D643">
        <v>66</v>
      </c>
      <c r="E643" t="s">
        <v>795</v>
      </c>
      <c r="F643" s="4" t="s">
        <v>9</v>
      </c>
      <c r="G643" s="4" t="str">
        <f>IFERROR(VLOOKUP(C643,'Registre maintenance'!B:F,2,FALSE),"Non trouvé")</f>
        <v>Ituri</v>
      </c>
      <c r="H643">
        <f>IFERROR(VLOOKUP(C643,'Registre maintenance'!B:F,3,FALSE),"Non trouvé")</f>
        <v>-12.595355</v>
      </c>
      <c r="I643">
        <f>IFERROR(VLOOKUP(C643,'Registre maintenance'!B:F,4,FALSE),"Non trouvé")</f>
        <v>17.897442000000002</v>
      </c>
      <c r="J643" t="str">
        <f>IFERROR(VLOOKUP(C643,'Registre maintenance'!B:F,5,FALSE),"Non trouvé")</f>
        <v>4G</v>
      </c>
      <c r="K643" t="str">
        <f t="shared" si="100"/>
        <v>OK</v>
      </c>
    </row>
    <row r="644" spans="1:11" x14ac:dyDescent="0.3">
      <c r="A644" t="s">
        <v>1255</v>
      </c>
      <c r="B644" s="1">
        <v>45224.115277777782</v>
      </c>
      <c r="C644" t="s">
        <v>1276</v>
      </c>
      <c r="D644">
        <v>45</v>
      </c>
      <c r="E644" t="s">
        <v>795</v>
      </c>
      <c r="F644" s="4" t="str">
        <f>F643</f>
        <v>Ituri</v>
      </c>
      <c r="G644" s="4" t="str">
        <f>IFERROR(VLOOKUP(C644,'Registre maintenance'!B:F,2,FALSE),"Non trouvé")</f>
        <v>Non trouvé</v>
      </c>
      <c r="H644" t="str">
        <f>IFERROR(VLOOKUP(C644,'Registre maintenance'!B:F,3,FALSE),"Non trouvé")</f>
        <v>Non trouvé</v>
      </c>
      <c r="I644" t="str">
        <f>IFERROR(VLOOKUP(C644,'Registre maintenance'!B:F,4,FALSE),"Non trouvé")</f>
        <v>Non trouvé</v>
      </c>
      <c r="J644" t="str">
        <f>IFERROR(VLOOKUP(C644,'Registre maintenance'!B:F,5,FALSE),"Non trouvé")</f>
        <v>Non trouvé</v>
      </c>
      <c r="K644" t="str">
        <f t="shared" si="100"/>
        <v>Mismatch</v>
      </c>
    </row>
    <row r="645" spans="1:11" x14ac:dyDescent="0.3">
      <c r="A645" t="s">
        <v>1255</v>
      </c>
      <c r="B645" s="1">
        <v>45228.747916666667</v>
      </c>
      <c r="C645" t="s">
        <v>1254</v>
      </c>
      <c r="D645">
        <v>27</v>
      </c>
      <c r="E645" t="s">
        <v>792</v>
      </c>
      <c r="F645" s="4" t="s">
        <v>135</v>
      </c>
      <c r="G645" s="4" t="str">
        <f>IFERROR(VLOOKUP(C645,'Registre maintenance'!B:F,2,FALSE),"Non trouvé")</f>
        <v>Lualaba</v>
      </c>
      <c r="H645">
        <f>IFERROR(VLOOKUP(C645,'Registre maintenance'!B:F,3,FALSE),"Non trouvé")</f>
        <v>-8.0301989999999996</v>
      </c>
      <c r="I645">
        <f>IFERROR(VLOOKUP(C645,'Registre maintenance'!B:F,4,FALSE),"Non trouvé")</f>
        <v>24.122495000000001</v>
      </c>
      <c r="J645" t="str">
        <f>IFERROR(VLOOKUP(C645,'Registre maintenance'!B:F,5,FALSE),"Non trouvé")</f>
        <v>5G</v>
      </c>
      <c r="K645" t="str">
        <f t="shared" si="100"/>
        <v>OK</v>
      </c>
    </row>
    <row r="646" spans="1:11" x14ac:dyDescent="0.3">
      <c r="A646" t="s">
        <v>1255</v>
      </c>
      <c r="B646" s="1">
        <v>45207.772916666669</v>
      </c>
      <c r="C646" t="s">
        <v>1245</v>
      </c>
      <c r="D646">
        <v>55</v>
      </c>
      <c r="E646" t="s">
        <v>795</v>
      </c>
      <c r="F646" s="4" t="str">
        <f t="shared" ref="F646:F647" si="101">F645</f>
        <v>Lualaba</v>
      </c>
      <c r="G646" s="4" t="str">
        <f>IFERROR(VLOOKUP(C646,'Registre maintenance'!B:F,2,FALSE),"Non trouvé")</f>
        <v>Non trouvé</v>
      </c>
      <c r="H646" t="str">
        <f>IFERROR(VLOOKUP(C646,'Registre maintenance'!B:F,3,FALSE),"Non trouvé")</f>
        <v>Non trouvé</v>
      </c>
      <c r="I646" t="str">
        <f>IFERROR(VLOOKUP(C646,'Registre maintenance'!B:F,4,FALSE),"Non trouvé")</f>
        <v>Non trouvé</v>
      </c>
      <c r="J646" t="str">
        <f>IFERROR(VLOOKUP(C646,'Registre maintenance'!B:F,5,FALSE),"Non trouvé")</f>
        <v>Non trouvé</v>
      </c>
      <c r="K646" t="str">
        <f t="shared" si="100"/>
        <v>Mismatch</v>
      </c>
    </row>
    <row r="647" spans="1:11" x14ac:dyDescent="0.3">
      <c r="A647" t="s">
        <v>1255</v>
      </c>
      <c r="B647" s="1">
        <v>45205.89166666667</v>
      </c>
      <c r="C647" t="s">
        <v>1245</v>
      </c>
      <c r="D647">
        <v>45</v>
      </c>
      <c r="E647" t="s">
        <v>795</v>
      </c>
      <c r="F647" s="4" t="str">
        <f t="shared" si="101"/>
        <v>Lualaba</v>
      </c>
      <c r="G647" s="4" t="str">
        <f>IFERROR(VLOOKUP(C647,'Registre maintenance'!B:F,2,FALSE),"Non trouvé")</f>
        <v>Non trouvé</v>
      </c>
      <c r="H647" t="str">
        <f>IFERROR(VLOOKUP(C647,'Registre maintenance'!B:F,3,FALSE),"Non trouvé")</f>
        <v>Non trouvé</v>
      </c>
      <c r="I647" t="str">
        <f>IFERROR(VLOOKUP(C647,'Registre maintenance'!B:F,4,FALSE),"Non trouvé")</f>
        <v>Non trouvé</v>
      </c>
      <c r="J647" t="str">
        <f>IFERROR(VLOOKUP(C647,'Registre maintenance'!B:F,5,FALSE),"Non trouvé")</f>
        <v>Non trouvé</v>
      </c>
      <c r="K647" t="str">
        <f t="shared" si="100"/>
        <v>Mismatch</v>
      </c>
    </row>
    <row r="648" spans="1:11" x14ac:dyDescent="0.3">
      <c r="A648" t="s">
        <v>1255</v>
      </c>
      <c r="B648" s="1">
        <v>45205.178472222222</v>
      </c>
      <c r="C648" t="s">
        <v>1277</v>
      </c>
      <c r="D648">
        <v>42</v>
      </c>
      <c r="E648" t="s">
        <v>795</v>
      </c>
      <c r="F648" s="4" t="s">
        <v>30</v>
      </c>
      <c r="G648" s="4" t="str">
        <f>IFERROR(VLOOKUP(C648,'Registre maintenance'!B:F,2,FALSE),"Non trouvé")</f>
        <v>Sud-Ubangi</v>
      </c>
      <c r="H648">
        <f>IFERROR(VLOOKUP(C648,'Registre maintenance'!B:F,3,FALSE),"Non trouvé")</f>
        <v>3.611561</v>
      </c>
      <c r="I648">
        <f>IFERROR(VLOOKUP(C648,'Registre maintenance'!B:F,4,FALSE),"Non trouvé")</f>
        <v>17.725974999999998</v>
      </c>
      <c r="J648" t="str">
        <f>IFERROR(VLOOKUP(C648,'Registre maintenance'!B:F,5,FALSE),"Non trouvé")</f>
        <v>3G</v>
      </c>
      <c r="K648" t="str">
        <f t="shared" si="100"/>
        <v>OK</v>
      </c>
    </row>
    <row r="649" spans="1:11" x14ac:dyDescent="0.3">
      <c r="A649" t="s">
        <v>1255</v>
      </c>
      <c r="B649" s="1">
        <v>45209.354861111111</v>
      </c>
      <c r="C649" t="s">
        <v>1210</v>
      </c>
      <c r="D649">
        <v>99</v>
      </c>
      <c r="E649" t="s">
        <v>795</v>
      </c>
      <c r="F649" s="4" t="s">
        <v>63</v>
      </c>
      <c r="G649" s="4" t="str">
        <f>IFERROR(VLOOKUP(C649,'Registre maintenance'!B:F,2,FALSE),"Non trouvé")</f>
        <v>Kinshasa</v>
      </c>
      <c r="H649">
        <f>IFERROR(VLOOKUP(C649,'Registre maintenance'!B:F,3,FALSE),"Non trouvé")</f>
        <v>1.3006180000000001</v>
      </c>
      <c r="I649">
        <f>IFERROR(VLOOKUP(C649,'Registre maintenance'!B:F,4,FALSE),"Non trouvé")</f>
        <v>29.060970999999999</v>
      </c>
      <c r="J649" t="str">
        <f>IFERROR(VLOOKUP(C649,'Registre maintenance'!B:F,5,FALSE),"Non trouvé")</f>
        <v>3G</v>
      </c>
      <c r="K649" t="str">
        <f t="shared" si="100"/>
        <v>OK</v>
      </c>
    </row>
    <row r="650" spans="1:11" x14ac:dyDescent="0.3">
      <c r="A650" t="s">
        <v>1255</v>
      </c>
      <c r="B650" s="1">
        <v>45204.090277777781</v>
      </c>
      <c r="C650" t="s">
        <v>1278</v>
      </c>
      <c r="D650">
        <v>93</v>
      </c>
      <c r="E650" t="s">
        <v>797</v>
      </c>
      <c r="F650" s="4" t="str">
        <f>F649</f>
        <v>Kinshasa</v>
      </c>
      <c r="G650" s="4" t="str">
        <f>IFERROR(VLOOKUP(C650,'Registre maintenance'!B:F,2,FALSE),"Non trouvé")</f>
        <v>Non trouvé</v>
      </c>
      <c r="H650" t="str">
        <f>IFERROR(VLOOKUP(C650,'Registre maintenance'!B:F,3,FALSE),"Non trouvé")</f>
        <v>Non trouvé</v>
      </c>
      <c r="I650" t="str">
        <f>IFERROR(VLOOKUP(C650,'Registre maintenance'!B:F,4,FALSE),"Non trouvé")</f>
        <v>Non trouvé</v>
      </c>
      <c r="J650" t="str">
        <f>IFERROR(VLOOKUP(C650,'Registre maintenance'!B:F,5,FALSE),"Non trouvé")</f>
        <v>Non trouvé</v>
      </c>
      <c r="K650" t="str">
        <f t="shared" si="100"/>
        <v>Mismatch</v>
      </c>
    </row>
    <row r="651" spans="1:11" x14ac:dyDescent="0.3">
      <c r="A651" t="s">
        <v>1255</v>
      </c>
      <c r="B651" s="1">
        <v>45213.351388888892</v>
      </c>
      <c r="C651" t="s">
        <v>1279</v>
      </c>
      <c r="D651">
        <v>86</v>
      </c>
      <c r="E651" t="s">
        <v>797</v>
      </c>
      <c r="F651" s="4" t="s">
        <v>77</v>
      </c>
      <c r="G651" s="4" t="str">
        <f>IFERROR(VLOOKUP(C651,'Registre maintenance'!B:F,2,FALSE),"Non trouvé")</f>
        <v>Maniema</v>
      </c>
      <c r="H651">
        <f>IFERROR(VLOOKUP(C651,'Registre maintenance'!B:F,3,FALSE),"Non trouvé")</f>
        <v>4.8228650000000002</v>
      </c>
      <c r="I651">
        <f>IFERROR(VLOOKUP(C651,'Registre maintenance'!B:F,4,FALSE),"Non trouvé")</f>
        <v>30.555627000000001</v>
      </c>
      <c r="J651" t="str">
        <f>IFERROR(VLOOKUP(C651,'Registre maintenance'!B:F,5,FALSE),"Non trouvé")</f>
        <v>4G</v>
      </c>
      <c r="K651" t="str">
        <f t="shared" si="100"/>
        <v>OK</v>
      </c>
    </row>
    <row r="652" spans="1:11" x14ac:dyDescent="0.3">
      <c r="A652" t="s">
        <v>1255</v>
      </c>
      <c r="B652" s="1">
        <v>45209.659722222219</v>
      </c>
      <c r="C652" t="s">
        <v>1050</v>
      </c>
      <c r="D652">
        <v>67</v>
      </c>
      <c r="E652" t="s">
        <v>797</v>
      </c>
      <c r="F652" s="4" t="s">
        <v>87</v>
      </c>
      <c r="G652" s="4" t="str">
        <f>IFERROR(VLOOKUP(C652,'Registre maintenance'!B:F,2,FALSE),"Non trouvé")</f>
        <v>Nord-Ubangi</v>
      </c>
      <c r="H652">
        <f>IFERROR(VLOOKUP(C652,'Registre maintenance'!B:F,3,FALSE),"Non trouvé")</f>
        <v>-7.7839049999999999</v>
      </c>
      <c r="I652">
        <f>IFERROR(VLOOKUP(C652,'Registre maintenance'!B:F,4,FALSE),"Non trouvé")</f>
        <v>14.114281999999999</v>
      </c>
      <c r="J652" t="str">
        <f>IFERROR(VLOOKUP(C652,'Registre maintenance'!B:F,5,FALSE),"Non trouvé")</f>
        <v>3G</v>
      </c>
      <c r="K652" t="str">
        <f t="shared" si="100"/>
        <v>OK</v>
      </c>
    </row>
    <row r="653" spans="1:11" x14ac:dyDescent="0.3">
      <c r="A653" t="s">
        <v>1255</v>
      </c>
      <c r="B653" s="1">
        <v>45202.469444444447</v>
      </c>
      <c r="C653" t="s">
        <v>1280</v>
      </c>
      <c r="D653">
        <v>78</v>
      </c>
      <c r="E653" t="s">
        <v>792</v>
      </c>
      <c r="F653" s="4" t="str">
        <f t="shared" ref="F653:F655" si="102">F652</f>
        <v>Nord-Ubangi</v>
      </c>
      <c r="G653" s="4" t="str">
        <f>IFERROR(VLOOKUP(C653,'Registre maintenance'!B:F,2,FALSE),"Non trouvé")</f>
        <v>Non trouvé</v>
      </c>
      <c r="H653" t="str">
        <f>IFERROR(VLOOKUP(C653,'Registre maintenance'!B:F,3,FALSE),"Non trouvé")</f>
        <v>Non trouvé</v>
      </c>
      <c r="I653" t="str">
        <f>IFERROR(VLOOKUP(C653,'Registre maintenance'!B:F,4,FALSE),"Non trouvé")</f>
        <v>Non trouvé</v>
      </c>
      <c r="J653" t="str">
        <f>IFERROR(VLOOKUP(C653,'Registre maintenance'!B:F,5,FALSE),"Non trouvé")</f>
        <v>Non trouvé</v>
      </c>
      <c r="K653" t="str">
        <f t="shared" si="100"/>
        <v>Mismatch</v>
      </c>
    </row>
    <row r="654" spans="1:11" x14ac:dyDescent="0.3">
      <c r="A654" t="s">
        <v>1255</v>
      </c>
      <c r="B654" s="1">
        <v>45230.323611111111</v>
      </c>
      <c r="C654" t="s">
        <v>933</v>
      </c>
      <c r="D654">
        <v>105</v>
      </c>
      <c r="E654" t="s">
        <v>792</v>
      </c>
      <c r="F654" s="4" t="str">
        <f t="shared" si="102"/>
        <v>Nord-Ubangi</v>
      </c>
      <c r="G654" s="4" t="str">
        <f>IFERROR(VLOOKUP(C654,'Registre maintenance'!B:F,2,FALSE),"Non trouvé")</f>
        <v>Non trouvé</v>
      </c>
      <c r="H654" t="str">
        <f>IFERROR(VLOOKUP(C654,'Registre maintenance'!B:F,3,FALSE),"Non trouvé")</f>
        <v>Non trouvé</v>
      </c>
      <c r="I654" t="str">
        <f>IFERROR(VLOOKUP(C654,'Registre maintenance'!B:F,4,FALSE),"Non trouvé")</f>
        <v>Non trouvé</v>
      </c>
      <c r="J654" t="str">
        <f>IFERROR(VLOOKUP(C654,'Registre maintenance'!B:F,5,FALSE),"Non trouvé")</f>
        <v>Non trouvé</v>
      </c>
      <c r="K654" t="str">
        <f t="shared" si="100"/>
        <v>Mismatch</v>
      </c>
    </row>
    <row r="655" spans="1:11" x14ac:dyDescent="0.3">
      <c r="A655" t="s">
        <v>1255</v>
      </c>
      <c r="B655" s="1">
        <v>45220.651388888888</v>
      </c>
      <c r="C655" t="s">
        <v>963</v>
      </c>
      <c r="D655">
        <v>36</v>
      </c>
      <c r="E655" t="s">
        <v>792</v>
      </c>
      <c r="F655" s="4" t="str">
        <f t="shared" si="102"/>
        <v>Nord-Ubangi</v>
      </c>
      <c r="G655" s="4" t="str">
        <f>IFERROR(VLOOKUP(C655,'Registre maintenance'!B:F,2,FALSE),"Non trouvé")</f>
        <v>Non trouvé</v>
      </c>
      <c r="H655" t="str">
        <f>IFERROR(VLOOKUP(C655,'Registre maintenance'!B:F,3,FALSE),"Non trouvé")</f>
        <v>Non trouvé</v>
      </c>
      <c r="I655" t="str">
        <f>IFERROR(VLOOKUP(C655,'Registre maintenance'!B:F,4,FALSE),"Non trouvé")</f>
        <v>Non trouvé</v>
      </c>
      <c r="J655" t="str">
        <f>IFERROR(VLOOKUP(C655,'Registre maintenance'!B:F,5,FALSE),"Non trouvé")</f>
        <v>Non trouvé</v>
      </c>
      <c r="K655" t="str">
        <f t="shared" si="100"/>
        <v>Mismatch</v>
      </c>
    </row>
    <row r="656" spans="1:11" x14ac:dyDescent="0.3">
      <c r="A656" t="s">
        <v>1255</v>
      </c>
      <c r="B656" s="1">
        <v>45202.699305555558</v>
      </c>
      <c r="C656" t="s">
        <v>1258</v>
      </c>
      <c r="D656">
        <v>63</v>
      </c>
      <c r="E656" t="s">
        <v>795</v>
      </c>
      <c r="F656" s="4" t="s">
        <v>72</v>
      </c>
      <c r="G656" s="4" t="str">
        <f>IFERROR(VLOOKUP(C656,'Registre maintenance'!B:F,2,FALSE),"Non trouvé")</f>
        <v>Tshopo</v>
      </c>
      <c r="H656">
        <f>IFERROR(VLOOKUP(C656,'Registre maintenance'!B:F,3,FALSE),"Non trouvé")</f>
        <v>1.400674</v>
      </c>
      <c r="I656">
        <f>IFERROR(VLOOKUP(C656,'Registre maintenance'!B:F,4,FALSE),"Non trouvé")</f>
        <v>13.503126999999999</v>
      </c>
      <c r="J656" t="str">
        <f>IFERROR(VLOOKUP(C656,'Registre maintenance'!B:F,5,FALSE),"Non trouvé")</f>
        <v>5G</v>
      </c>
      <c r="K656" t="str">
        <f t="shared" si="100"/>
        <v>OK</v>
      </c>
    </row>
    <row r="657" spans="1:11" x14ac:dyDescent="0.3">
      <c r="A657" t="s">
        <v>1281</v>
      </c>
      <c r="B657" s="1">
        <v>45207.599305555559</v>
      </c>
      <c r="C657" t="s">
        <v>916</v>
      </c>
      <c r="D657">
        <v>59</v>
      </c>
      <c r="E657" t="s">
        <v>792</v>
      </c>
      <c r="F657" s="4" t="str">
        <f t="shared" ref="F657:F663" si="103">F656</f>
        <v>Tshopo</v>
      </c>
      <c r="G657" s="4" t="str">
        <f>IFERROR(VLOOKUP(C657,'Registre maintenance'!B:F,2,FALSE),"Non trouvé")</f>
        <v>Non trouvé</v>
      </c>
      <c r="H657" t="str">
        <f>IFERROR(VLOOKUP(C657,'Registre maintenance'!B:F,3,FALSE),"Non trouvé")</f>
        <v>Non trouvé</v>
      </c>
      <c r="I657" t="str">
        <f>IFERROR(VLOOKUP(C657,'Registre maintenance'!B:F,4,FALSE),"Non trouvé")</f>
        <v>Non trouvé</v>
      </c>
      <c r="J657" t="str">
        <f>IFERROR(VLOOKUP(C657,'Registre maintenance'!B:F,5,FALSE),"Non trouvé")</f>
        <v>Non trouvé</v>
      </c>
      <c r="K657" t="str">
        <f t="shared" si="100"/>
        <v>Mismatch</v>
      </c>
    </row>
    <row r="658" spans="1:11" x14ac:dyDescent="0.3">
      <c r="A658" t="s">
        <v>1281</v>
      </c>
      <c r="B658" s="1">
        <v>45212.617361111108</v>
      </c>
      <c r="C658" t="s">
        <v>1282</v>
      </c>
      <c r="D658">
        <v>28</v>
      </c>
      <c r="E658" t="s">
        <v>792</v>
      </c>
      <c r="F658" s="4" t="str">
        <f t="shared" si="103"/>
        <v>Tshopo</v>
      </c>
      <c r="G658" s="4" t="str">
        <f>IFERROR(VLOOKUP(C658,'Registre maintenance'!B:F,2,FALSE),"Non trouvé")</f>
        <v>Non trouvé</v>
      </c>
      <c r="H658" t="str">
        <f>IFERROR(VLOOKUP(C658,'Registre maintenance'!B:F,3,FALSE),"Non trouvé")</f>
        <v>Non trouvé</v>
      </c>
      <c r="I658" t="str">
        <f>IFERROR(VLOOKUP(C658,'Registre maintenance'!B:F,4,FALSE),"Non trouvé")</f>
        <v>Non trouvé</v>
      </c>
      <c r="J658" t="str">
        <f>IFERROR(VLOOKUP(C658,'Registre maintenance'!B:F,5,FALSE),"Non trouvé")</f>
        <v>Non trouvé</v>
      </c>
      <c r="K658" t="str">
        <f t="shared" si="100"/>
        <v>Mismatch</v>
      </c>
    </row>
    <row r="659" spans="1:11" x14ac:dyDescent="0.3">
      <c r="A659" t="s">
        <v>1281</v>
      </c>
      <c r="B659" s="1">
        <v>45221.780555555553</v>
      </c>
      <c r="C659" t="s">
        <v>1205</v>
      </c>
      <c r="D659">
        <v>67</v>
      </c>
      <c r="E659" t="s">
        <v>792</v>
      </c>
      <c r="F659" s="4" t="str">
        <f t="shared" si="103"/>
        <v>Tshopo</v>
      </c>
      <c r="G659" s="4" t="str">
        <f>IFERROR(VLOOKUP(C659,'Registre maintenance'!B:F,2,FALSE),"Non trouvé")</f>
        <v>Non trouvé</v>
      </c>
      <c r="H659" t="str">
        <f>IFERROR(VLOOKUP(C659,'Registre maintenance'!B:F,3,FALSE),"Non trouvé")</f>
        <v>Non trouvé</v>
      </c>
      <c r="I659" t="str">
        <f>IFERROR(VLOOKUP(C659,'Registre maintenance'!B:F,4,FALSE),"Non trouvé")</f>
        <v>Non trouvé</v>
      </c>
      <c r="J659" t="str">
        <f>IFERROR(VLOOKUP(C659,'Registre maintenance'!B:F,5,FALSE),"Non trouvé")</f>
        <v>Non trouvé</v>
      </c>
      <c r="K659" t="str">
        <f t="shared" si="100"/>
        <v>Mismatch</v>
      </c>
    </row>
    <row r="660" spans="1:11" x14ac:dyDescent="0.3">
      <c r="A660" t="s">
        <v>1281</v>
      </c>
      <c r="B660" s="1">
        <v>45216.181944444441</v>
      </c>
      <c r="C660" t="s">
        <v>1283</v>
      </c>
      <c r="D660">
        <v>86</v>
      </c>
      <c r="E660" t="s">
        <v>795</v>
      </c>
      <c r="F660" s="4" t="str">
        <f t="shared" si="103"/>
        <v>Tshopo</v>
      </c>
      <c r="G660" s="4" t="str">
        <f>IFERROR(VLOOKUP(C660,'Registre maintenance'!B:F,2,FALSE),"Non trouvé")</f>
        <v>Non trouvé</v>
      </c>
      <c r="H660" t="str">
        <f>IFERROR(VLOOKUP(C660,'Registre maintenance'!B:F,3,FALSE),"Non trouvé")</f>
        <v>Non trouvé</v>
      </c>
      <c r="I660" t="str">
        <f>IFERROR(VLOOKUP(C660,'Registre maintenance'!B:F,4,FALSE),"Non trouvé")</f>
        <v>Non trouvé</v>
      </c>
      <c r="J660" t="str">
        <f>IFERROR(VLOOKUP(C660,'Registre maintenance'!B:F,5,FALSE),"Non trouvé")</f>
        <v>Non trouvé</v>
      </c>
      <c r="K660" t="str">
        <f t="shared" si="100"/>
        <v>Mismatch</v>
      </c>
    </row>
    <row r="661" spans="1:11" x14ac:dyDescent="0.3">
      <c r="A661" t="s">
        <v>1281</v>
      </c>
      <c r="B661" s="1">
        <v>45200.629166666673</v>
      </c>
      <c r="C661" t="s">
        <v>1081</v>
      </c>
      <c r="D661">
        <v>73</v>
      </c>
      <c r="E661" t="s">
        <v>795</v>
      </c>
      <c r="F661" s="4" t="str">
        <f t="shared" si="103"/>
        <v>Tshopo</v>
      </c>
      <c r="G661" s="4" t="str">
        <f>IFERROR(VLOOKUP(C661,'Registre maintenance'!B:F,2,FALSE),"Non trouvé")</f>
        <v>Non trouvé</v>
      </c>
      <c r="H661" t="str">
        <f>IFERROR(VLOOKUP(C661,'Registre maintenance'!B:F,3,FALSE),"Non trouvé")</f>
        <v>Non trouvé</v>
      </c>
      <c r="I661" t="str">
        <f>IFERROR(VLOOKUP(C661,'Registre maintenance'!B:F,4,FALSE),"Non trouvé")</f>
        <v>Non trouvé</v>
      </c>
      <c r="J661" t="str">
        <f>IFERROR(VLOOKUP(C661,'Registre maintenance'!B:F,5,FALSE),"Non trouvé")</f>
        <v>Non trouvé</v>
      </c>
      <c r="K661" t="str">
        <f t="shared" si="100"/>
        <v>Mismatch</v>
      </c>
    </row>
    <row r="662" spans="1:11" x14ac:dyDescent="0.3">
      <c r="A662" t="s">
        <v>1281</v>
      </c>
      <c r="B662" s="1">
        <v>45209.581944444442</v>
      </c>
      <c r="C662" t="s">
        <v>1284</v>
      </c>
      <c r="D662">
        <v>93</v>
      </c>
      <c r="E662" t="s">
        <v>795</v>
      </c>
      <c r="F662" s="4" t="str">
        <f t="shared" si="103"/>
        <v>Tshopo</v>
      </c>
      <c r="G662" s="4" t="str">
        <f>IFERROR(VLOOKUP(C662,'Registre maintenance'!B:F,2,FALSE),"Non trouvé")</f>
        <v>Non trouvé</v>
      </c>
      <c r="H662" t="str">
        <f>IFERROR(VLOOKUP(C662,'Registre maintenance'!B:F,3,FALSE),"Non trouvé")</f>
        <v>Non trouvé</v>
      </c>
      <c r="I662" t="str">
        <f>IFERROR(VLOOKUP(C662,'Registre maintenance'!B:F,4,FALSE),"Non trouvé")</f>
        <v>Non trouvé</v>
      </c>
      <c r="J662" t="str">
        <f>IFERROR(VLOOKUP(C662,'Registre maintenance'!B:F,5,FALSE),"Non trouvé")</f>
        <v>Non trouvé</v>
      </c>
      <c r="K662" t="str">
        <f t="shared" si="100"/>
        <v>Mismatch</v>
      </c>
    </row>
    <row r="663" spans="1:11" x14ac:dyDescent="0.3">
      <c r="A663" t="s">
        <v>1281</v>
      </c>
      <c r="B663" s="1">
        <v>45230.088194444441</v>
      </c>
      <c r="C663" t="s">
        <v>1173</v>
      </c>
      <c r="D663">
        <v>87</v>
      </c>
      <c r="E663" t="s">
        <v>797</v>
      </c>
      <c r="F663" s="4" t="str">
        <f t="shared" si="103"/>
        <v>Tshopo</v>
      </c>
      <c r="G663" s="4" t="str">
        <f>IFERROR(VLOOKUP(C663,'Registre maintenance'!B:F,2,FALSE),"Non trouvé")</f>
        <v>Non trouvé</v>
      </c>
      <c r="H663" t="str">
        <f>IFERROR(VLOOKUP(C663,'Registre maintenance'!B:F,3,FALSE),"Non trouvé")</f>
        <v>Non trouvé</v>
      </c>
      <c r="I663" t="str">
        <f>IFERROR(VLOOKUP(C663,'Registre maintenance'!B:F,4,FALSE),"Non trouvé")</f>
        <v>Non trouvé</v>
      </c>
      <c r="J663" t="str">
        <f>IFERROR(VLOOKUP(C663,'Registre maintenance'!B:F,5,FALSE),"Non trouvé")</f>
        <v>Non trouvé</v>
      </c>
      <c r="K663" t="str">
        <f t="shared" si="100"/>
        <v>Mismatch</v>
      </c>
    </row>
    <row r="664" spans="1:11" x14ac:dyDescent="0.3">
      <c r="A664" t="s">
        <v>1281</v>
      </c>
      <c r="B664" s="1">
        <v>45226.964583333327</v>
      </c>
      <c r="C664" t="s">
        <v>1285</v>
      </c>
      <c r="D664">
        <v>27</v>
      </c>
      <c r="E664" t="s">
        <v>795</v>
      </c>
      <c r="F664" s="4" t="s">
        <v>135</v>
      </c>
      <c r="G664" s="4" t="str">
        <f>IFERROR(VLOOKUP(C664,'Registre maintenance'!B:F,2,FALSE),"Non trouvé")</f>
        <v>Lualaba</v>
      </c>
      <c r="H664">
        <f>IFERROR(VLOOKUP(C664,'Registre maintenance'!B:F,3,FALSE),"Non trouvé")</f>
        <v>-11.354772000000001</v>
      </c>
      <c r="I664">
        <f>IFERROR(VLOOKUP(C664,'Registre maintenance'!B:F,4,FALSE),"Non trouvé")</f>
        <v>21.957325999999998</v>
      </c>
      <c r="J664" t="str">
        <f>IFERROR(VLOOKUP(C664,'Registre maintenance'!B:F,5,FALSE),"Non trouvé")</f>
        <v>3G</v>
      </c>
      <c r="K664" t="str">
        <f t="shared" si="100"/>
        <v>OK</v>
      </c>
    </row>
    <row r="665" spans="1:11" x14ac:dyDescent="0.3">
      <c r="A665" t="s">
        <v>1281</v>
      </c>
      <c r="B665" s="1">
        <v>45211.38958333333</v>
      </c>
      <c r="C665" t="s">
        <v>1286</v>
      </c>
      <c r="D665">
        <v>76</v>
      </c>
      <c r="E665" t="s">
        <v>795</v>
      </c>
      <c r="F665" s="4" t="str">
        <f t="shared" ref="F665:F668" si="104">F664</f>
        <v>Lualaba</v>
      </c>
      <c r="G665" s="4" t="str">
        <f>IFERROR(VLOOKUP(C665,'Registre maintenance'!B:F,2,FALSE),"Non trouvé")</f>
        <v>Non trouvé</v>
      </c>
      <c r="H665" t="str">
        <f>IFERROR(VLOOKUP(C665,'Registre maintenance'!B:F,3,FALSE),"Non trouvé")</f>
        <v>Non trouvé</v>
      </c>
      <c r="I665" t="str">
        <f>IFERROR(VLOOKUP(C665,'Registre maintenance'!B:F,4,FALSE),"Non trouvé")</f>
        <v>Non trouvé</v>
      </c>
      <c r="J665" t="str">
        <f>IFERROR(VLOOKUP(C665,'Registre maintenance'!B:F,5,FALSE),"Non trouvé")</f>
        <v>Non trouvé</v>
      </c>
      <c r="K665" t="str">
        <f t="shared" si="100"/>
        <v>Mismatch</v>
      </c>
    </row>
    <row r="666" spans="1:11" x14ac:dyDescent="0.3">
      <c r="A666" t="s">
        <v>1281</v>
      </c>
      <c r="B666" s="1">
        <v>45214.272916666669</v>
      </c>
      <c r="C666" t="s">
        <v>966</v>
      </c>
      <c r="D666">
        <v>26</v>
      </c>
      <c r="E666" t="s">
        <v>795</v>
      </c>
      <c r="F666" s="4" t="str">
        <f t="shared" si="104"/>
        <v>Lualaba</v>
      </c>
      <c r="G666" s="4" t="str">
        <f>IFERROR(VLOOKUP(C666,'Registre maintenance'!B:F,2,FALSE),"Non trouvé")</f>
        <v>Non trouvé</v>
      </c>
      <c r="H666" t="str">
        <f>IFERROR(VLOOKUP(C666,'Registre maintenance'!B:F,3,FALSE),"Non trouvé")</f>
        <v>Non trouvé</v>
      </c>
      <c r="I666" t="str">
        <f>IFERROR(VLOOKUP(C666,'Registre maintenance'!B:F,4,FALSE),"Non trouvé")</f>
        <v>Non trouvé</v>
      </c>
      <c r="J666" t="str">
        <f>IFERROR(VLOOKUP(C666,'Registre maintenance'!B:F,5,FALSE),"Non trouvé")</f>
        <v>Non trouvé</v>
      </c>
      <c r="K666" t="str">
        <f t="shared" si="100"/>
        <v>Mismatch</v>
      </c>
    </row>
    <row r="667" spans="1:11" x14ac:dyDescent="0.3">
      <c r="A667" t="s">
        <v>1281</v>
      </c>
      <c r="B667" s="1">
        <v>45215.479166666657</v>
      </c>
      <c r="C667" t="s">
        <v>910</v>
      </c>
      <c r="D667">
        <v>67</v>
      </c>
      <c r="E667" t="s">
        <v>797</v>
      </c>
      <c r="F667" s="4" t="str">
        <f t="shared" si="104"/>
        <v>Lualaba</v>
      </c>
      <c r="G667" s="4" t="str">
        <f>IFERROR(VLOOKUP(C667,'Registre maintenance'!B:F,2,FALSE),"Non trouvé")</f>
        <v>Non trouvé</v>
      </c>
      <c r="H667" t="str">
        <f>IFERROR(VLOOKUP(C667,'Registre maintenance'!B:F,3,FALSE),"Non trouvé")</f>
        <v>Non trouvé</v>
      </c>
      <c r="I667" t="str">
        <f>IFERROR(VLOOKUP(C667,'Registre maintenance'!B:F,4,FALSE),"Non trouvé")</f>
        <v>Non trouvé</v>
      </c>
      <c r="J667" t="str">
        <f>IFERROR(VLOOKUP(C667,'Registre maintenance'!B:F,5,FALSE),"Non trouvé")</f>
        <v>Non trouvé</v>
      </c>
      <c r="K667" t="str">
        <f t="shared" si="100"/>
        <v>Mismatch</v>
      </c>
    </row>
    <row r="668" spans="1:11" x14ac:dyDescent="0.3">
      <c r="A668" t="s">
        <v>1281</v>
      </c>
      <c r="B668" s="1">
        <v>45203.615277777782</v>
      </c>
      <c r="C668" t="s">
        <v>1287</v>
      </c>
      <c r="D668">
        <v>41</v>
      </c>
      <c r="E668" t="s">
        <v>792</v>
      </c>
      <c r="F668" s="4" t="str">
        <f t="shared" si="104"/>
        <v>Lualaba</v>
      </c>
      <c r="G668" s="4" t="str">
        <f>IFERROR(VLOOKUP(C668,'Registre maintenance'!B:F,2,FALSE),"Non trouvé")</f>
        <v>Non trouvé</v>
      </c>
      <c r="H668" t="str">
        <f>IFERROR(VLOOKUP(C668,'Registre maintenance'!B:F,3,FALSE),"Non trouvé")</f>
        <v>Non trouvé</v>
      </c>
      <c r="I668" t="str">
        <f>IFERROR(VLOOKUP(C668,'Registre maintenance'!B:F,4,FALSE),"Non trouvé")</f>
        <v>Non trouvé</v>
      </c>
      <c r="J668" t="str">
        <f>IFERROR(VLOOKUP(C668,'Registre maintenance'!B:F,5,FALSE),"Non trouvé")</f>
        <v>Non trouvé</v>
      </c>
      <c r="K668" t="str">
        <f t="shared" si="100"/>
        <v>Mismatch</v>
      </c>
    </row>
    <row r="669" spans="1:11" x14ac:dyDescent="0.3">
      <c r="A669" t="s">
        <v>1281</v>
      </c>
      <c r="B669" s="1">
        <v>45222.597222222219</v>
      </c>
      <c r="C669" t="s">
        <v>987</v>
      </c>
      <c r="D669">
        <v>22</v>
      </c>
      <c r="E669" t="s">
        <v>795</v>
      </c>
      <c r="F669" s="4" t="s">
        <v>129</v>
      </c>
      <c r="G669" s="4" t="str">
        <f>IFERROR(VLOOKUP(C669,'Registre maintenance'!B:F,2,FALSE),"Non trouvé")</f>
        <v>Nord-Kivu</v>
      </c>
      <c r="H669">
        <f>IFERROR(VLOOKUP(C669,'Registre maintenance'!B:F,3,FALSE),"Non trouvé")</f>
        <v>-1.8555980000000001</v>
      </c>
      <c r="I669">
        <f>IFERROR(VLOOKUP(C669,'Registre maintenance'!B:F,4,FALSE),"Non trouvé")</f>
        <v>30.421918000000002</v>
      </c>
      <c r="J669" t="str">
        <f>IFERROR(VLOOKUP(C669,'Registre maintenance'!B:F,5,FALSE),"Non trouvé")</f>
        <v>3G</v>
      </c>
      <c r="K669" t="str">
        <f t="shared" si="100"/>
        <v>OK</v>
      </c>
    </row>
    <row r="670" spans="1:11" x14ac:dyDescent="0.3">
      <c r="A670" t="s">
        <v>1281</v>
      </c>
      <c r="B670" s="1">
        <v>45202.376388888893</v>
      </c>
      <c r="C670" t="s">
        <v>1288</v>
      </c>
      <c r="D670">
        <v>28</v>
      </c>
      <c r="E670" t="s">
        <v>792</v>
      </c>
      <c r="F670" s="4" t="s">
        <v>50</v>
      </c>
      <c r="G670" s="4" t="str">
        <f>IFERROR(VLOOKUP(C670,'Registre maintenance'!B:F,2,FALSE),"Non trouvé")</f>
        <v>Kwilu</v>
      </c>
      <c r="H670">
        <f>IFERROR(VLOOKUP(C670,'Registre maintenance'!B:F,3,FALSE),"Non trouvé")</f>
        <v>-7.402336</v>
      </c>
      <c r="I670">
        <f>IFERROR(VLOOKUP(C670,'Registre maintenance'!B:F,4,FALSE),"Non trouvé")</f>
        <v>27.376697</v>
      </c>
      <c r="J670" t="str">
        <f>IFERROR(VLOOKUP(C670,'Registre maintenance'!B:F,5,FALSE),"Non trouvé")</f>
        <v>4G</v>
      </c>
      <c r="K670" t="str">
        <f t="shared" si="100"/>
        <v>OK</v>
      </c>
    </row>
    <row r="671" spans="1:11" x14ac:dyDescent="0.3">
      <c r="A671" t="s">
        <v>1281</v>
      </c>
      <c r="B671" s="1">
        <v>45225.921527777777</v>
      </c>
      <c r="C671" t="s">
        <v>1223</v>
      </c>
      <c r="D671">
        <v>45</v>
      </c>
      <c r="E671" t="s">
        <v>792</v>
      </c>
      <c r="F671" s="4" t="str">
        <f>F670</f>
        <v>Kwilu</v>
      </c>
      <c r="G671" s="4" t="str">
        <f>IFERROR(VLOOKUP(C671,'Registre maintenance'!B:F,2,FALSE),"Non trouvé")</f>
        <v>Non trouvé</v>
      </c>
      <c r="H671" t="str">
        <f>IFERROR(VLOOKUP(C671,'Registre maintenance'!B:F,3,FALSE),"Non trouvé")</f>
        <v>Non trouvé</v>
      </c>
      <c r="I671" t="str">
        <f>IFERROR(VLOOKUP(C671,'Registre maintenance'!B:F,4,FALSE),"Non trouvé")</f>
        <v>Non trouvé</v>
      </c>
      <c r="J671" t="str">
        <f>IFERROR(VLOOKUP(C671,'Registre maintenance'!B:F,5,FALSE),"Non trouvé")</f>
        <v>Non trouvé</v>
      </c>
      <c r="K671" t="str">
        <f t="shared" si="100"/>
        <v>Mismatch</v>
      </c>
    </row>
    <row r="672" spans="1:11" x14ac:dyDescent="0.3">
      <c r="A672" t="s">
        <v>1281</v>
      </c>
      <c r="B672" s="1">
        <v>45200.445138888892</v>
      </c>
      <c r="C672" t="s">
        <v>1289</v>
      </c>
      <c r="D672">
        <v>112</v>
      </c>
      <c r="E672" t="s">
        <v>792</v>
      </c>
      <c r="F672" s="4" t="s">
        <v>23</v>
      </c>
      <c r="G672" s="4" t="str">
        <f>IFERROR(VLOOKUP(C672,'Registre maintenance'!B:F,2,FALSE),"Non trouvé")</f>
        <v>Haut-Katanga</v>
      </c>
      <c r="H672">
        <f>IFERROR(VLOOKUP(C672,'Registre maintenance'!B:F,3,FALSE),"Non trouvé")</f>
        <v>-10.945031</v>
      </c>
      <c r="I672">
        <f>IFERROR(VLOOKUP(C672,'Registre maintenance'!B:F,4,FALSE),"Non trouvé")</f>
        <v>27.922274000000002</v>
      </c>
      <c r="J672" t="str">
        <f>IFERROR(VLOOKUP(C672,'Registre maintenance'!B:F,5,FALSE),"Non trouvé")</f>
        <v>4G</v>
      </c>
      <c r="K672" t="str">
        <f t="shared" si="100"/>
        <v>OK</v>
      </c>
    </row>
    <row r="673" spans="1:11" x14ac:dyDescent="0.3">
      <c r="A673" t="s">
        <v>1281</v>
      </c>
      <c r="B673" s="1">
        <v>45203.910416666673</v>
      </c>
      <c r="C673" t="s">
        <v>1260</v>
      </c>
      <c r="D673">
        <v>62</v>
      </c>
      <c r="E673" t="s">
        <v>792</v>
      </c>
      <c r="F673" s="4" t="s">
        <v>77</v>
      </c>
      <c r="G673" s="4" t="str">
        <f>IFERROR(VLOOKUP(C673,'Registre maintenance'!B:F,2,FALSE),"Non trouvé")</f>
        <v>Maniema</v>
      </c>
      <c r="H673">
        <f>IFERROR(VLOOKUP(C673,'Registre maintenance'!B:F,3,FALSE),"Non trouvé")</f>
        <v>1.938083</v>
      </c>
      <c r="I673">
        <f>IFERROR(VLOOKUP(C673,'Registre maintenance'!B:F,4,FALSE),"Non trouvé")</f>
        <v>28.25281</v>
      </c>
      <c r="J673" t="str">
        <f>IFERROR(VLOOKUP(C673,'Registre maintenance'!B:F,5,FALSE),"Non trouvé")</f>
        <v>4G</v>
      </c>
      <c r="K673" t="str">
        <f t="shared" si="100"/>
        <v>OK</v>
      </c>
    </row>
    <row r="674" spans="1:11" x14ac:dyDescent="0.3">
      <c r="A674" t="s">
        <v>1281</v>
      </c>
      <c r="B674" s="1">
        <v>45205.96875</v>
      </c>
      <c r="C674" t="s">
        <v>1290</v>
      </c>
      <c r="D674">
        <v>84</v>
      </c>
      <c r="E674" t="s">
        <v>795</v>
      </c>
      <c r="F674" s="4" t="str">
        <f>F673</f>
        <v>Maniema</v>
      </c>
      <c r="G674" s="4" t="str">
        <f>IFERROR(VLOOKUP(C674,'Registre maintenance'!B:F,2,FALSE),"Non trouvé")</f>
        <v>Non trouvé</v>
      </c>
      <c r="H674" t="str">
        <f>IFERROR(VLOOKUP(C674,'Registre maintenance'!B:F,3,FALSE),"Non trouvé")</f>
        <v>Non trouvé</v>
      </c>
      <c r="I674" t="str">
        <f>IFERROR(VLOOKUP(C674,'Registre maintenance'!B:F,4,FALSE),"Non trouvé")</f>
        <v>Non trouvé</v>
      </c>
      <c r="J674" t="str">
        <f>IFERROR(VLOOKUP(C674,'Registre maintenance'!B:F,5,FALSE),"Non trouvé")</f>
        <v>Non trouvé</v>
      </c>
      <c r="K674" t="str">
        <f t="shared" si="100"/>
        <v>Mismatch</v>
      </c>
    </row>
    <row r="675" spans="1:11" x14ac:dyDescent="0.3">
      <c r="A675" t="s">
        <v>1281</v>
      </c>
      <c r="B675" s="1">
        <v>45216.232638888891</v>
      </c>
      <c r="C675" t="s">
        <v>1291</v>
      </c>
      <c r="D675">
        <v>11</v>
      </c>
      <c r="E675" t="s">
        <v>797</v>
      </c>
      <c r="F675" s="4" t="s">
        <v>28</v>
      </c>
      <c r="G675" s="4" t="str">
        <f>IFERROR(VLOOKUP(C675,'Registre maintenance'!B:F,2,FALSE),"Non trouvé")</f>
        <v>Kasai</v>
      </c>
      <c r="H675">
        <f>IFERROR(VLOOKUP(C675,'Registre maintenance'!B:F,3,FALSE),"Non trouvé")</f>
        <v>-3.8119990000000001</v>
      </c>
      <c r="I675">
        <f>IFERROR(VLOOKUP(C675,'Registre maintenance'!B:F,4,FALSE),"Non trouvé")</f>
        <v>20.420048000000001</v>
      </c>
      <c r="J675" t="str">
        <f>IFERROR(VLOOKUP(C675,'Registre maintenance'!B:F,5,FALSE),"Non trouvé")</f>
        <v>3G</v>
      </c>
      <c r="K675" t="str">
        <f t="shared" si="100"/>
        <v>OK</v>
      </c>
    </row>
    <row r="676" spans="1:11" x14ac:dyDescent="0.3">
      <c r="A676" t="s">
        <v>1281</v>
      </c>
      <c r="B676" s="1">
        <v>45205.440972222219</v>
      </c>
      <c r="C676" t="s">
        <v>1292</v>
      </c>
      <c r="D676">
        <v>115</v>
      </c>
      <c r="E676" t="s">
        <v>795</v>
      </c>
      <c r="F676" s="4" t="s">
        <v>20</v>
      </c>
      <c r="G676" s="4" t="str">
        <f>IFERROR(VLOOKUP(C676,'Registre maintenance'!B:F,2,FALSE),"Non trouvé")</f>
        <v>Sud-Kivu</v>
      </c>
      <c r="H676">
        <f>IFERROR(VLOOKUP(C676,'Registre maintenance'!B:F,3,FALSE),"Non trouvé")</f>
        <v>-1.3024210000000001</v>
      </c>
      <c r="I676">
        <f>IFERROR(VLOOKUP(C676,'Registre maintenance'!B:F,4,FALSE),"Non trouvé")</f>
        <v>13.601914000000001</v>
      </c>
      <c r="J676" t="str">
        <f>IFERROR(VLOOKUP(C676,'Registre maintenance'!B:F,5,FALSE),"Non trouvé")</f>
        <v>3G</v>
      </c>
      <c r="K676" t="str">
        <f t="shared" si="100"/>
        <v>OK</v>
      </c>
    </row>
    <row r="677" spans="1:11" x14ac:dyDescent="0.3">
      <c r="A677" t="s">
        <v>1281</v>
      </c>
      <c r="B677" s="1">
        <v>45213.593055555553</v>
      </c>
      <c r="C677" t="s">
        <v>1215</v>
      </c>
      <c r="D677">
        <v>50</v>
      </c>
      <c r="E677" t="s">
        <v>797</v>
      </c>
      <c r="F677" s="4" t="str">
        <f t="shared" ref="F677:F679" si="105">F676</f>
        <v>Sud-Kivu</v>
      </c>
      <c r="G677" s="4" t="str">
        <f>IFERROR(VLOOKUP(C677,'Registre maintenance'!B:F,2,FALSE),"Non trouvé")</f>
        <v>Non trouvé</v>
      </c>
      <c r="H677" t="str">
        <f>IFERROR(VLOOKUP(C677,'Registre maintenance'!B:F,3,FALSE),"Non trouvé")</f>
        <v>Non trouvé</v>
      </c>
      <c r="I677" t="str">
        <f>IFERROR(VLOOKUP(C677,'Registre maintenance'!B:F,4,FALSE),"Non trouvé")</f>
        <v>Non trouvé</v>
      </c>
      <c r="J677" t="str">
        <f>IFERROR(VLOOKUP(C677,'Registre maintenance'!B:F,5,FALSE),"Non trouvé")</f>
        <v>Non trouvé</v>
      </c>
      <c r="K677" t="str">
        <f t="shared" si="100"/>
        <v>Mismatch</v>
      </c>
    </row>
    <row r="678" spans="1:11" x14ac:dyDescent="0.3">
      <c r="A678" t="s">
        <v>1281</v>
      </c>
      <c r="B678" s="1">
        <v>45225.527777777781</v>
      </c>
      <c r="C678" t="s">
        <v>1293</v>
      </c>
      <c r="D678">
        <v>6</v>
      </c>
      <c r="E678" t="s">
        <v>795</v>
      </c>
      <c r="F678" s="4" t="str">
        <f t="shared" si="105"/>
        <v>Sud-Kivu</v>
      </c>
      <c r="G678" s="4" t="str">
        <f>IFERROR(VLOOKUP(C678,'Registre maintenance'!B:F,2,FALSE),"Non trouvé")</f>
        <v>Non trouvé</v>
      </c>
      <c r="H678" t="str">
        <f>IFERROR(VLOOKUP(C678,'Registre maintenance'!B:F,3,FALSE),"Non trouvé")</f>
        <v>Non trouvé</v>
      </c>
      <c r="I678" t="str">
        <f>IFERROR(VLOOKUP(C678,'Registre maintenance'!B:F,4,FALSE),"Non trouvé")</f>
        <v>Non trouvé</v>
      </c>
      <c r="J678" t="str">
        <f>IFERROR(VLOOKUP(C678,'Registre maintenance'!B:F,5,FALSE),"Non trouvé")</f>
        <v>Non trouvé</v>
      </c>
      <c r="K678" t="str">
        <f t="shared" si="100"/>
        <v>Mismatch</v>
      </c>
    </row>
    <row r="679" spans="1:11" x14ac:dyDescent="0.3">
      <c r="A679" t="s">
        <v>1281</v>
      </c>
      <c r="B679" s="1">
        <v>45205.236111111109</v>
      </c>
      <c r="C679" t="s">
        <v>974</v>
      </c>
      <c r="D679">
        <v>67</v>
      </c>
      <c r="E679" t="s">
        <v>795</v>
      </c>
      <c r="F679" s="4" t="str">
        <f t="shared" si="105"/>
        <v>Sud-Kivu</v>
      </c>
      <c r="G679" s="4" t="str">
        <f>IFERROR(VLOOKUP(C679,'Registre maintenance'!B:F,2,FALSE),"Non trouvé")</f>
        <v>Non trouvé</v>
      </c>
      <c r="H679" t="str">
        <f>IFERROR(VLOOKUP(C679,'Registre maintenance'!B:F,3,FALSE),"Non trouvé")</f>
        <v>Non trouvé</v>
      </c>
      <c r="I679" t="str">
        <f>IFERROR(VLOOKUP(C679,'Registre maintenance'!B:F,4,FALSE),"Non trouvé")</f>
        <v>Non trouvé</v>
      </c>
      <c r="J679" t="str">
        <f>IFERROR(VLOOKUP(C679,'Registre maintenance'!B:F,5,FALSE),"Non trouvé")</f>
        <v>Non trouvé</v>
      </c>
      <c r="K679" t="str">
        <f t="shared" si="100"/>
        <v>Mismatch</v>
      </c>
    </row>
    <row r="680" spans="1:11" x14ac:dyDescent="0.3">
      <c r="A680" t="s">
        <v>1281</v>
      </c>
      <c r="B680" s="1">
        <v>45221.559027777781</v>
      </c>
      <c r="C680" t="s">
        <v>1294</v>
      </c>
      <c r="D680">
        <v>22</v>
      </c>
      <c r="E680" t="s">
        <v>792</v>
      </c>
      <c r="F680" s="4" t="s">
        <v>39</v>
      </c>
      <c r="G680" s="4" t="str">
        <f>IFERROR(VLOOKUP(C680,'Registre maintenance'!B:F,2,FALSE),"Non trouvé")</f>
        <v>Kwango</v>
      </c>
      <c r="H680">
        <f>IFERROR(VLOOKUP(C680,'Registre maintenance'!B:F,3,FALSE),"Non trouvé")</f>
        <v>0.65288900000000005</v>
      </c>
      <c r="I680">
        <f>IFERROR(VLOOKUP(C680,'Registre maintenance'!B:F,4,FALSE),"Non trouvé")</f>
        <v>24.243953999999999</v>
      </c>
      <c r="J680" t="str">
        <f>IFERROR(VLOOKUP(C680,'Registre maintenance'!B:F,5,FALSE),"Non trouvé")</f>
        <v>5G</v>
      </c>
      <c r="K680" t="str">
        <f t="shared" si="100"/>
        <v>OK</v>
      </c>
    </row>
    <row r="681" spans="1:11" x14ac:dyDescent="0.3">
      <c r="A681" t="s">
        <v>1281</v>
      </c>
      <c r="B681" s="1">
        <v>45200.98541666667</v>
      </c>
      <c r="C681" t="s">
        <v>982</v>
      </c>
      <c r="D681">
        <v>29</v>
      </c>
      <c r="E681" t="s">
        <v>797</v>
      </c>
      <c r="F681" s="4" t="s">
        <v>25</v>
      </c>
      <c r="G681" s="4" t="str">
        <f>IFERROR(VLOOKUP(C681,'Registre maintenance'!B:F,2,FALSE),"Non trouvé")</f>
        <v>Bas-Uele</v>
      </c>
      <c r="H681">
        <f>IFERROR(VLOOKUP(C681,'Registre maintenance'!B:F,3,FALSE),"Non trouvé")</f>
        <v>1.5278670000000001</v>
      </c>
      <c r="I681">
        <f>IFERROR(VLOOKUP(C681,'Registre maintenance'!B:F,4,FALSE),"Non trouvé")</f>
        <v>13.899388999999999</v>
      </c>
      <c r="J681" t="str">
        <f>IFERROR(VLOOKUP(C681,'Registre maintenance'!B:F,5,FALSE),"Non trouvé")</f>
        <v>3G</v>
      </c>
      <c r="K681" t="str">
        <f t="shared" si="100"/>
        <v>OK</v>
      </c>
    </row>
    <row r="682" spans="1:11" x14ac:dyDescent="0.3">
      <c r="A682" t="s">
        <v>1281</v>
      </c>
      <c r="B682" s="1">
        <v>45228.269444444442</v>
      </c>
      <c r="C682" t="s">
        <v>881</v>
      </c>
      <c r="D682">
        <v>109</v>
      </c>
      <c r="E682" t="s">
        <v>795</v>
      </c>
      <c r="F682" s="4" t="str">
        <f t="shared" ref="F682:F683" si="106">F681</f>
        <v>Bas-Uele</v>
      </c>
      <c r="G682" s="4" t="str">
        <f>IFERROR(VLOOKUP(C682,'Registre maintenance'!B:F,2,FALSE),"Non trouvé")</f>
        <v>Non trouvé</v>
      </c>
      <c r="H682" t="str">
        <f>IFERROR(VLOOKUP(C682,'Registre maintenance'!B:F,3,FALSE),"Non trouvé")</f>
        <v>Non trouvé</v>
      </c>
      <c r="I682" t="str">
        <f>IFERROR(VLOOKUP(C682,'Registre maintenance'!B:F,4,FALSE),"Non trouvé")</f>
        <v>Non trouvé</v>
      </c>
      <c r="J682" t="str">
        <f>IFERROR(VLOOKUP(C682,'Registre maintenance'!B:F,5,FALSE),"Non trouvé")</f>
        <v>Non trouvé</v>
      </c>
      <c r="K682" t="str">
        <f t="shared" si="100"/>
        <v>Mismatch</v>
      </c>
    </row>
    <row r="683" spans="1:11" x14ac:dyDescent="0.3">
      <c r="A683" t="s">
        <v>1281</v>
      </c>
      <c r="B683" s="1">
        <v>45218.558333333327</v>
      </c>
      <c r="C683" t="s">
        <v>984</v>
      </c>
      <c r="D683">
        <v>54</v>
      </c>
      <c r="E683" t="s">
        <v>797</v>
      </c>
      <c r="F683" s="4" t="str">
        <f t="shared" si="106"/>
        <v>Bas-Uele</v>
      </c>
      <c r="G683" s="4" t="str">
        <f>IFERROR(VLOOKUP(C683,'Registre maintenance'!B:F,2,FALSE),"Non trouvé")</f>
        <v>Non trouvé</v>
      </c>
      <c r="H683" t="str">
        <f>IFERROR(VLOOKUP(C683,'Registre maintenance'!B:F,3,FALSE),"Non trouvé")</f>
        <v>Non trouvé</v>
      </c>
      <c r="I683" t="str">
        <f>IFERROR(VLOOKUP(C683,'Registre maintenance'!B:F,4,FALSE),"Non trouvé")</f>
        <v>Non trouvé</v>
      </c>
      <c r="J683" t="str">
        <f>IFERROR(VLOOKUP(C683,'Registre maintenance'!B:F,5,FALSE),"Non trouvé")</f>
        <v>Non trouvé</v>
      </c>
      <c r="K683" t="str">
        <f t="shared" si="100"/>
        <v>Mismatch</v>
      </c>
    </row>
    <row r="684" spans="1:11" x14ac:dyDescent="0.3">
      <c r="A684" t="s">
        <v>1281</v>
      </c>
      <c r="B684" s="1">
        <v>45200.925694444442</v>
      </c>
      <c r="C684" t="s">
        <v>799</v>
      </c>
      <c r="D684">
        <v>76</v>
      </c>
      <c r="E684" t="s">
        <v>797</v>
      </c>
      <c r="F684" s="4" t="s">
        <v>61</v>
      </c>
      <c r="G684" s="4" t="str">
        <f>IFERROR(VLOOKUP(C684,'Registre maintenance'!B:F,2,FALSE),"Non trouvé")</f>
        <v>Kongo-Central</v>
      </c>
      <c r="H684">
        <f>IFERROR(VLOOKUP(C684,'Registre maintenance'!B:F,3,FALSE),"Non trouvé")</f>
        <v>-2.8211520000000001</v>
      </c>
      <c r="I684">
        <f>IFERROR(VLOOKUP(C684,'Registre maintenance'!B:F,4,FALSE),"Non trouvé")</f>
        <v>20.651419000000001</v>
      </c>
      <c r="J684" t="str">
        <f>IFERROR(VLOOKUP(C684,'Registre maintenance'!B:F,5,FALSE),"Non trouvé")</f>
        <v>5G</v>
      </c>
      <c r="K684" t="str">
        <f t="shared" si="100"/>
        <v>OK</v>
      </c>
    </row>
    <row r="685" spans="1:11" x14ac:dyDescent="0.3">
      <c r="A685" t="s">
        <v>1281</v>
      </c>
      <c r="B685" s="1">
        <v>45206.366666666669</v>
      </c>
      <c r="C685" t="s">
        <v>1011</v>
      </c>
      <c r="D685">
        <v>69</v>
      </c>
      <c r="E685" t="s">
        <v>795</v>
      </c>
      <c r="F685" s="4" t="str">
        <f t="shared" ref="F685:F687" si="107">F684</f>
        <v>Kongo-Central</v>
      </c>
      <c r="G685" s="4" t="str">
        <f>IFERROR(VLOOKUP(C685,'Registre maintenance'!B:F,2,FALSE),"Non trouvé")</f>
        <v>Non trouvé</v>
      </c>
      <c r="H685" t="str">
        <f>IFERROR(VLOOKUP(C685,'Registre maintenance'!B:F,3,FALSE),"Non trouvé")</f>
        <v>Non trouvé</v>
      </c>
      <c r="I685" t="str">
        <f>IFERROR(VLOOKUP(C685,'Registre maintenance'!B:F,4,FALSE),"Non trouvé")</f>
        <v>Non trouvé</v>
      </c>
      <c r="J685" t="str">
        <f>IFERROR(VLOOKUP(C685,'Registre maintenance'!B:F,5,FALSE),"Non trouvé")</f>
        <v>Non trouvé</v>
      </c>
      <c r="K685" t="str">
        <f t="shared" si="100"/>
        <v>Mismatch</v>
      </c>
    </row>
    <row r="686" spans="1:11" x14ac:dyDescent="0.3">
      <c r="A686" t="s">
        <v>1281</v>
      </c>
      <c r="B686" s="1">
        <v>45222.10833333333</v>
      </c>
      <c r="C686" t="s">
        <v>1295</v>
      </c>
      <c r="D686">
        <v>88</v>
      </c>
      <c r="E686" t="s">
        <v>797</v>
      </c>
      <c r="F686" s="4" t="str">
        <f t="shared" si="107"/>
        <v>Kongo-Central</v>
      </c>
      <c r="G686" s="4" t="str">
        <f>IFERROR(VLOOKUP(C686,'Registre maintenance'!B:F,2,FALSE),"Non trouvé")</f>
        <v>Non trouvé</v>
      </c>
      <c r="H686" t="str">
        <f>IFERROR(VLOOKUP(C686,'Registre maintenance'!B:F,3,FALSE),"Non trouvé")</f>
        <v>Non trouvé</v>
      </c>
      <c r="I686" t="str">
        <f>IFERROR(VLOOKUP(C686,'Registre maintenance'!B:F,4,FALSE),"Non trouvé")</f>
        <v>Non trouvé</v>
      </c>
      <c r="J686" t="str">
        <f>IFERROR(VLOOKUP(C686,'Registre maintenance'!B:F,5,FALSE),"Non trouvé")</f>
        <v>Non trouvé</v>
      </c>
      <c r="K686" t="str">
        <f t="shared" si="100"/>
        <v>Mismatch</v>
      </c>
    </row>
    <row r="687" spans="1:11" x14ac:dyDescent="0.3">
      <c r="A687" t="s">
        <v>1281</v>
      </c>
      <c r="B687" s="1">
        <v>45203.71597222222</v>
      </c>
      <c r="C687" t="s">
        <v>1296</v>
      </c>
      <c r="D687">
        <v>68</v>
      </c>
      <c r="E687" t="s">
        <v>795</v>
      </c>
      <c r="F687" s="4" t="str">
        <f t="shared" si="107"/>
        <v>Kongo-Central</v>
      </c>
      <c r="G687" s="4" t="str">
        <f>IFERROR(VLOOKUP(C687,'Registre maintenance'!B:F,2,FALSE),"Non trouvé")</f>
        <v>Non trouvé</v>
      </c>
      <c r="H687" t="str">
        <f>IFERROR(VLOOKUP(C687,'Registre maintenance'!B:F,3,FALSE),"Non trouvé")</f>
        <v>Non trouvé</v>
      </c>
      <c r="I687" t="str">
        <f>IFERROR(VLOOKUP(C687,'Registre maintenance'!B:F,4,FALSE),"Non trouvé")</f>
        <v>Non trouvé</v>
      </c>
      <c r="J687" t="str">
        <f>IFERROR(VLOOKUP(C687,'Registre maintenance'!B:F,5,FALSE),"Non trouvé")</f>
        <v>Non trouvé</v>
      </c>
      <c r="K687" t="str">
        <f t="shared" si="100"/>
        <v>Mismatch</v>
      </c>
    </row>
    <row r="688" spans="1:11" x14ac:dyDescent="0.3">
      <c r="A688" t="s">
        <v>1281</v>
      </c>
      <c r="B688" s="1">
        <v>45211.425000000003</v>
      </c>
      <c r="C688" t="s">
        <v>958</v>
      </c>
      <c r="D688">
        <v>57</v>
      </c>
      <c r="E688" t="s">
        <v>795</v>
      </c>
      <c r="F688" s="4" t="s">
        <v>72</v>
      </c>
      <c r="G688" s="4" t="str">
        <f>IFERROR(VLOOKUP(C688,'Registre maintenance'!B:F,2,FALSE),"Non trouvé")</f>
        <v>Tshopo</v>
      </c>
      <c r="H688">
        <f>IFERROR(VLOOKUP(C688,'Registre maintenance'!B:F,3,FALSE),"Non trouvé")</f>
        <v>-4.5603610000000003</v>
      </c>
      <c r="I688">
        <f>IFERROR(VLOOKUP(C688,'Registre maintenance'!B:F,4,FALSE),"Non trouvé")</f>
        <v>24.113918999999999</v>
      </c>
      <c r="J688" t="str">
        <f>IFERROR(VLOOKUP(C688,'Registre maintenance'!B:F,5,FALSE),"Non trouvé")</f>
        <v>5G</v>
      </c>
      <c r="K688" t="str">
        <f t="shared" si="100"/>
        <v>OK</v>
      </c>
    </row>
    <row r="689" spans="1:11" x14ac:dyDescent="0.3">
      <c r="A689" t="s">
        <v>1281</v>
      </c>
      <c r="B689" s="1">
        <v>45214.136111111111</v>
      </c>
      <c r="C689" t="s">
        <v>1297</v>
      </c>
      <c r="D689">
        <v>92</v>
      </c>
      <c r="E689" t="s">
        <v>792</v>
      </c>
      <c r="F689" s="4" t="str">
        <f>F688</f>
        <v>Tshopo</v>
      </c>
      <c r="G689" s="4" t="str">
        <f>IFERROR(VLOOKUP(C689,'Registre maintenance'!B:F,2,FALSE),"Non trouvé")</f>
        <v>Non trouvé</v>
      </c>
      <c r="H689" t="str">
        <f>IFERROR(VLOOKUP(C689,'Registre maintenance'!B:F,3,FALSE),"Non trouvé")</f>
        <v>Non trouvé</v>
      </c>
      <c r="I689" t="str">
        <f>IFERROR(VLOOKUP(C689,'Registre maintenance'!B:F,4,FALSE),"Non trouvé")</f>
        <v>Non trouvé</v>
      </c>
      <c r="J689" t="str">
        <f>IFERROR(VLOOKUP(C689,'Registre maintenance'!B:F,5,FALSE),"Non trouvé")</f>
        <v>Non trouvé</v>
      </c>
      <c r="K689" t="str">
        <f t="shared" si="100"/>
        <v>Mismatch</v>
      </c>
    </row>
    <row r="690" spans="1:11" x14ac:dyDescent="0.3">
      <c r="A690" t="s">
        <v>1281</v>
      </c>
      <c r="B690" s="1">
        <v>45221.647916666669</v>
      </c>
      <c r="C690" t="s">
        <v>1298</v>
      </c>
      <c r="D690">
        <v>67</v>
      </c>
      <c r="E690" t="s">
        <v>792</v>
      </c>
      <c r="F690" s="4" t="s">
        <v>125</v>
      </c>
      <c r="G690" s="4" t="str">
        <f>IFERROR(VLOOKUP(C690,'Registre maintenance'!B:F,2,FALSE),"Non trouvé")</f>
        <v>Haut-Uele</v>
      </c>
      <c r="H690">
        <f>IFERROR(VLOOKUP(C690,'Registre maintenance'!B:F,3,FALSE),"Non trouvé")</f>
        <v>-11.924048000000001</v>
      </c>
      <c r="I690">
        <f>IFERROR(VLOOKUP(C690,'Registre maintenance'!B:F,4,FALSE),"Non trouvé")</f>
        <v>24.177174999999998</v>
      </c>
      <c r="J690" t="str">
        <f>IFERROR(VLOOKUP(C690,'Registre maintenance'!B:F,5,FALSE),"Non trouvé")</f>
        <v>3G</v>
      </c>
      <c r="K690" t="str">
        <f t="shared" si="100"/>
        <v>OK</v>
      </c>
    </row>
    <row r="691" spans="1:11" x14ac:dyDescent="0.3">
      <c r="A691" t="s">
        <v>1281</v>
      </c>
      <c r="B691" s="1">
        <v>45230.847222222219</v>
      </c>
      <c r="C691" t="s">
        <v>851</v>
      </c>
      <c r="D691">
        <v>58</v>
      </c>
      <c r="E691" t="s">
        <v>797</v>
      </c>
      <c r="F691" s="4" t="s">
        <v>50</v>
      </c>
      <c r="G691" s="4" t="str">
        <f>IFERROR(VLOOKUP(C691,'Registre maintenance'!B:F,2,FALSE),"Non trouvé")</f>
        <v>Kwilu</v>
      </c>
      <c r="H691">
        <f>IFERROR(VLOOKUP(C691,'Registre maintenance'!B:F,3,FALSE),"Non trouvé")</f>
        <v>-5.9021970000000001</v>
      </c>
      <c r="I691">
        <f>IFERROR(VLOOKUP(C691,'Registre maintenance'!B:F,4,FALSE),"Non trouvé")</f>
        <v>20.551169999999999</v>
      </c>
      <c r="J691" t="str">
        <f>IFERROR(VLOOKUP(C691,'Registre maintenance'!B:F,5,FALSE),"Non trouvé")</f>
        <v>3G</v>
      </c>
      <c r="K691" t="str">
        <f t="shared" si="100"/>
        <v>OK</v>
      </c>
    </row>
    <row r="692" spans="1:11" x14ac:dyDescent="0.3">
      <c r="A692" t="s">
        <v>1281</v>
      </c>
      <c r="B692" s="1">
        <v>45219.527083333327</v>
      </c>
      <c r="C692" t="s">
        <v>1201</v>
      </c>
      <c r="D692">
        <v>95</v>
      </c>
      <c r="E692" t="s">
        <v>792</v>
      </c>
      <c r="F692" s="4" t="s">
        <v>125</v>
      </c>
      <c r="G692" s="4" t="str">
        <f>IFERROR(VLOOKUP(C692,'Registre maintenance'!B:F,2,FALSE),"Non trouvé")</f>
        <v>Haut-Uele</v>
      </c>
      <c r="H692">
        <f>IFERROR(VLOOKUP(C692,'Registre maintenance'!B:F,3,FALSE),"Non trouvé")</f>
        <v>-7.1483749999999997</v>
      </c>
      <c r="I692">
        <f>IFERROR(VLOOKUP(C692,'Registre maintenance'!B:F,4,FALSE),"Non trouvé")</f>
        <v>26.014271000000001</v>
      </c>
      <c r="J692" t="str">
        <f>IFERROR(VLOOKUP(C692,'Registre maintenance'!B:F,5,FALSE),"Non trouvé")</f>
        <v>5G</v>
      </c>
      <c r="K692" t="str">
        <f t="shared" si="100"/>
        <v>OK</v>
      </c>
    </row>
    <row r="693" spans="1:11" x14ac:dyDescent="0.3">
      <c r="A693" t="s">
        <v>1281</v>
      </c>
      <c r="B693" s="1">
        <v>45212.754861111112</v>
      </c>
      <c r="C693" t="s">
        <v>907</v>
      </c>
      <c r="D693">
        <v>112</v>
      </c>
      <c r="E693" t="s">
        <v>797</v>
      </c>
      <c r="F693" s="4" t="str">
        <f t="shared" ref="F693:F698" si="108">F692</f>
        <v>Haut-Uele</v>
      </c>
      <c r="G693" s="4" t="str">
        <f>IFERROR(VLOOKUP(C693,'Registre maintenance'!B:F,2,FALSE),"Non trouvé")</f>
        <v>Non trouvé</v>
      </c>
      <c r="H693" t="str">
        <f>IFERROR(VLOOKUP(C693,'Registre maintenance'!B:F,3,FALSE),"Non trouvé")</f>
        <v>Non trouvé</v>
      </c>
      <c r="I693" t="str">
        <f>IFERROR(VLOOKUP(C693,'Registre maintenance'!B:F,4,FALSE),"Non trouvé")</f>
        <v>Non trouvé</v>
      </c>
      <c r="J693" t="str">
        <f>IFERROR(VLOOKUP(C693,'Registre maintenance'!B:F,5,FALSE),"Non trouvé")</f>
        <v>Non trouvé</v>
      </c>
      <c r="K693" t="str">
        <f t="shared" si="100"/>
        <v>Mismatch</v>
      </c>
    </row>
    <row r="694" spans="1:11" x14ac:dyDescent="0.3">
      <c r="A694" t="s">
        <v>1281</v>
      </c>
      <c r="B694" s="1">
        <v>45211.495833333327</v>
      </c>
      <c r="C694" t="s">
        <v>908</v>
      </c>
      <c r="D694">
        <v>61</v>
      </c>
      <c r="E694" t="s">
        <v>795</v>
      </c>
      <c r="F694" s="4" t="str">
        <f t="shared" si="108"/>
        <v>Haut-Uele</v>
      </c>
      <c r="G694" s="4" t="str">
        <f>IFERROR(VLOOKUP(C694,'Registre maintenance'!B:F,2,FALSE),"Non trouvé")</f>
        <v>Non trouvé</v>
      </c>
      <c r="H694" t="str">
        <f>IFERROR(VLOOKUP(C694,'Registre maintenance'!B:F,3,FALSE),"Non trouvé")</f>
        <v>Non trouvé</v>
      </c>
      <c r="I694" t="str">
        <f>IFERROR(VLOOKUP(C694,'Registre maintenance'!B:F,4,FALSE),"Non trouvé")</f>
        <v>Non trouvé</v>
      </c>
      <c r="J694" t="str">
        <f>IFERROR(VLOOKUP(C694,'Registre maintenance'!B:F,5,FALSE),"Non trouvé")</f>
        <v>Non trouvé</v>
      </c>
      <c r="K694" t="str">
        <f t="shared" si="100"/>
        <v>Mismatch</v>
      </c>
    </row>
    <row r="695" spans="1:11" x14ac:dyDescent="0.3">
      <c r="A695" t="s">
        <v>1281</v>
      </c>
      <c r="B695" s="1">
        <v>45214.799305555563</v>
      </c>
      <c r="C695" t="s">
        <v>1299</v>
      </c>
      <c r="D695">
        <v>67</v>
      </c>
      <c r="E695" t="s">
        <v>792</v>
      </c>
      <c r="F695" s="4" t="str">
        <f t="shared" si="108"/>
        <v>Haut-Uele</v>
      </c>
      <c r="G695" s="4" t="str">
        <f>IFERROR(VLOOKUP(C695,'Registre maintenance'!B:F,2,FALSE),"Non trouvé")</f>
        <v>Non trouvé</v>
      </c>
      <c r="H695" t="str">
        <f>IFERROR(VLOOKUP(C695,'Registre maintenance'!B:F,3,FALSE),"Non trouvé")</f>
        <v>Non trouvé</v>
      </c>
      <c r="I695" t="str">
        <f>IFERROR(VLOOKUP(C695,'Registre maintenance'!B:F,4,FALSE),"Non trouvé")</f>
        <v>Non trouvé</v>
      </c>
      <c r="J695" t="str">
        <f>IFERROR(VLOOKUP(C695,'Registre maintenance'!B:F,5,FALSE),"Non trouvé")</f>
        <v>Non trouvé</v>
      </c>
      <c r="K695" t="str">
        <f t="shared" si="100"/>
        <v>Mismatch</v>
      </c>
    </row>
    <row r="696" spans="1:11" x14ac:dyDescent="0.3">
      <c r="A696" t="s">
        <v>1281</v>
      </c>
      <c r="B696" s="1">
        <v>45226.90625</v>
      </c>
      <c r="C696" t="s">
        <v>1109</v>
      </c>
      <c r="D696">
        <v>26</v>
      </c>
      <c r="E696" t="s">
        <v>795</v>
      </c>
      <c r="F696" s="4" t="str">
        <f t="shared" si="108"/>
        <v>Haut-Uele</v>
      </c>
      <c r="G696" s="4" t="str">
        <f>IFERROR(VLOOKUP(C696,'Registre maintenance'!B:F,2,FALSE),"Non trouvé")</f>
        <v>Non trouvé</v>
      </c>
      <c r="H696" t="str">
        <f>IFERROR(VLOOKUP(C696,'Registre maintenance'!B:F,3,FALSE),"Non trouvé")</f>
        <v>Non trouvé</v>
      </c>
      <c r="I696" t="str">
        <f>IFERROR(VLOOKUP(C696,'Registre maintenance'!B:F,4,FALSE),"Non trouvé")</f>
        <v>Non trouvé</v>
      </c>
      <c r="J696" t="str">
        <f>IFERROR(VLOOKUP(C696,'Registre maintenance'!B:F,5,FALSE),"Non trouvé")</f>
        <v>Non trouvé</v>
      </c>
      <c r="K696" t="str">
        <f t="shared" si="100"/>
        <v>Mismatch</v>
      </c>
    </row>
    <row r="697" spans="1:11" x14ac:dyDescent="0.3">
      <c r="A697" t="s">
        <v>1281</v>
      </c>
      <c r="B697" s="1">
        <v>45225.415277777778</v>
      </c>
      <c r="C697" t="s">
        <v>1300</v>
      </c>
      <c r="D697">
        <v>15</v>
      </c>
      <c r="E697" t="s">
        <v>792</v>
      </c>
      <c r="F697" s="4" t="str">
        <f t="shared" si="108"/>
        <v>Haut-Uele</v>
      </c>
      <c r="G697" s="4" t="str">
        <f>IFERROR(VLOOKUP(C697,'Registre maintenance'!B:F,2,FALSE),"Non trouvé")</f>
        <v>Non trouvé</v>
      </c>
      <c r="H697" t="str">
        <f>IFERROR(VLOOKUP(C697,'Registre maintenance'!B:F,3,FALSE),"Non trouvé")</f>
        <v>Non trouvé</v>
      </c>
      <c r="I697" t="str">
        <f>IFERROR(VLOOKUP(C697,'Registre maintenance'!B:F,4,FALSE),"Non trouvé")</f>
        <v>Non trouvé</v>
      </c>
      <c r="J697" t="str">
        <f>IFERROR(VLOOKUP(C697,'Registre maintenance'!B:F,5,FALSE),"Non trouvé")</f>
        <v>Non trouvé</v>
      </c>
      <c r="K697" t="str">
        <f t="shared" si="100"/>
        <v>Mismatch</v>
      </c>
    </row>
    <row r="698" spans="1:11" x14ac:dyDescent="0.3">
      <c r="A698" t="s">
        <v>1281</v>
      </c>
      <c r="B698" s="1">
        <v>45219.753472222219</v>
      </c>
      <c r="C698" t="s">
        <v>905</v>
      </c>
      <c r="D698">
        <v>77</v>
      </c>
      <c r="E698" t="s">
        <v>792</v>
      </c>
      <c r="F698" s="4" t="str">
        <f t="shared" si="108"/>
        <v>Haut-Uele</v>
      </c>
      <c r="G698" s="4" t="str">
        <f>IFERROR(VLOOKUP(C698,'Registre maintenance'!B:F,2,FALSE),"Non trouvé")</f>
        <v>Non trouvé</v>
      </c>
      <c r="H698" t="str">
        <f>IFERROR(VLOOKUP(C698,'Registre maintenance'!B:F,3,FALSE),"Non trouvé")</f>
        <v>Non trouvé</v>
      </c>
      <c r="I698" t="str">
        <f>IFERROR(VLOOKUP(C698,'Registre maintenance'!B:F,4,FALSE),"Non trouvé")</f>
        <v>Non trouvé</v>
      </c>
      <c r="J698" t="str">
        <f>IFERROR(VLOOKUP(C698,'Registre maintenance'!B:F,5,FALSE),"Non trouvé")</f>
        <v>Non trouvé</v>
      </c>
      <c r="K698" t="str">
        <f t="shared" si="100"/>
        <v>Mismatch</v>
      </c>
    </row>
    <row r="699" spans="1:11" x14ac:dyDescent="0.3">
      <c r="A699" t="s">
        <v>1281</v>
      </c>
      <c r="B699" s="1">
        <v>45221.180555555547</v>
      </c>
      <c r="C699" t="s">
        <v>800</v>
      </c>
      <c r="D699">
        <v>8</v>
      </c>
      <c r="E699" t="s">
        <v>792</v>
      </c>
      <c r="F699" s="4" t="s">
        <v>32</v>
      </c>
      <c r="G699" s="4" t="str">
        <f>IFERROR(VLOOKUP(C699,'Registre maintenance'!B:F,2,FALSE),"Non trouvé")</f>
        <v>Kasai-Central</v>
      </c>
      <c r="H699">
        <f>IFERROR(VLOOKUP(C699,'Registre maintenance'!B:F,3,FALSE),"Non trouvé")</f>
        <v>-1.648264</v>
      </c>
      <c r="I699">
        <f>IFERROR(VLOOKUP(C699,'Registre maintenance'!B:F,4,FALSE),"Non trouvé")</f>
        <v>28.866143999999998</v>
      </c>
      <c r="J699" t="str">
        <f>IFERROR(VLOOKUP(C699,'Registre maintenance'!B:F,5,FALSE),"Non trouvé")</f>
        <v>5G</v>
      </c>
      <c r="K699" t="str">
        <f t="shared" si="100"/>
        <v>OK</v>
      </c>
    </row>
    <row r="700" spans="1:11" x14ac:dyDescent="0.3">
      <c r="A700" t="s">
        <v>1281</v>
      </c>
      <c r="B700" s="1">
        <v>45203.304861111108</v>
      </c>
      <c r="C700" t="s">
        <v>1203</v>
      </c>
      <c r="D700">
        <v>106</v>
      </c>
      <c r="E700" t="s">
        <v>795</v>
      </c>
      <c r="F700" s="4" t="s">
        <v>36</v>
      </c>
      <c r="G700" s="4" t="str">
        <f>IFERROR(VLOOKUP(C700,'Registre maintenance'!B:F,2,FALSE),"Non trouvé")</f>
        <v>Tanganyika</v>
      </c>
      <c r="H700">
        <f>IFERROR(VLOOKUP(C700,'Registre maintenance'!B:F,3,FALSE),"Non trouvé")</f>
        <v>-11.793894</v>
      </c>
      <c r="I700">
        <f>IFERROR(VLOOKUP(C700,'Registre maintenance'!B:F,4,FALSE),"Non trouvé")</f>
        <v>20.433340999999999</v>
      </c>
      <c r="J700" t="str">
        <f>IFERROR(VLOOKUP(C700,'Registre maintenance'!B:F,5,FALSE),"Non trouvé")</f>
        <v>5G</v>
      </c>
      <c r="K700" t="str">
        <f t="shared" si="100"/>
        <v>OK</v>
      </c>
    </row>
    <row r="701" spans="1:11" x14ac:dyDescent="0.3">
      <c r="A701" t="s">
        <v>1281</v>
      </c>
      <c r="B701" s="1">
        <v>45203.224305555559</v>
      </c>
      <c r="C701" t="s">
        <v>903</v>
      </c>
      <c r="D701">
        <v>102</v>
      </c>
      <c r="E701" t="s">
        <v>797</v>
      </c>
      <c r="F701" s="4" t="s">
        <v>20</v>
      </c>
      <c r="G701" s="4" t="str">
        <f>IFERROR(VLOOKUP(C701,'Registre maintenance'!B:F,2,FALSE),"Non trouvé")</f>
        <v>Sud-Kivu</v>
      </c>
      <c r="H701">
        <f>IFERROR(VLOOKUP(C701,'Registre maintenance'!B:F,3,FALSE),"Non trouvé")</f>
        <v>-9.4702129999999993</v>
      </c>
      <c r="I701">
        <f>IFERROR(VLOOKUP(C701,'Registre maintenance'!B:F,4,FALSE),"Non trouvé")</f>
        <v>12.826158</v>
      </c>
      <c r="J701" t="str">
        <f>IFERROR(VLOOKUP(C701,'Registre maintenance'!B:F,5,FALSE),"Non trouvé")</f>
        <v>3G</v>
      </c>
      <c r="K701" t="str">
        <f t="shared" si="100"/>
        <v>OK</v>
      </c>
    </row>
    <row r="702" spans="1:11" x14ac:dyDescent="0.3">
      <c r="A702" t="s">
        <v>1281</v>
      </c>
      <c r="B702" s="1">
        <v>45222.188888888893</v>
      </c>
      <c r="C702" t="s">
        <v>1101</v>
      </c>
      <c r="D702">
        <v>33</v>
      </c>
      <c r="E702" t="s">
        <v>792</v>
      </c>
      <c r="F702" s="4" t="s">
        <v>15</v>
      </c>
      <c r="G702" s="4" t="str">
        <f>IFERROR(VLOOKUP(C702,'Registre maintenance'!B:F,2,FALSE),"Non trouvé")</f>
        <v>Mongala</v>
      </c>
      <c r="H702">
        <f>IFERROR(VLOOKUP(C702,'Registre maintenance'!B:F,3,FALSE),"Non trouvé")</f>
        <v>-5.3762689999999997</v>
      </c>
      <c r="I702">
        <f>IFERROR(VLOOKUP(C702,'Registre maintenance'!B:F,4,FALSE),"Non trouvé")</f>
        <v>28.189575999999999</v>
      </c>
      <c r="J702" t="str">
        <f>IFERROR(VLOOKUP(C702,'Registre maintenance'!B:F,5,FALSE),"Non trouvé")</f>
        <v>5G</v>
      </c>
      <c r="K702" t="str">
        <f t="shared" si="100"/>
        <v>OK</v>
      </c>
    </row>
    <row r="703" spans="1:11" x14ac:dyDescent="0.3">
      <c r="A703" t="s">
        <v>1281</v>
      </c>
      <c r="B703" s="1">
        <v>45212.568055555559</v>
      </c>
      <c r="C703" t="s">
        <v>1301</v>
      </c>
      <c r="D703">
        <v>42</v>
      </c>
      <c r="E703" t="s">
        <v>795</v>
      </c>
      <c r="F703" s="4" t="str">
        <f>F702</f>
        <v>Mongala</v>
      </c>
      <c r="G703" s="4" t="str">
        <f>IFERROR(VLOOKUP(C703,'Registre maintenance'!B:F,2,FALSE),"Non trouvé")</f>
        <v>Non trouvé</v>
      </c>
      <c r="H703" t="str">
        <f>IFERROR(VLOOKUP(C703,'Registre maintenance'!B:F,3,FALSE),"Non trouvé")</f>
        <v>Non trouvé</v>
      </c>
      <c r="I703" t="str">
        <f>IFERROR(VLOOKUP(C703,'Registre maintenance'!B:F,4,FALSE),"Non trouvé")</f>
        <v>Non trouvé</v>
      </c>
      <c r="J703" t="str">
        <f>IFERROR(VLOOKUP(C703,'Registre maintenance'!B:F,5,FALSE),"Non trouvé")</f>
        <v>Non trouvé</v>
      </c>
      <c r="K703" t="str">
        <f t="shared" si="100"/>
        <v>Mismatch</v>
      </c>
    </row>
    <row r="704" spans="1:11" x14ac:dyDescent="0.3">
      <c r="A704" t="s">
        <v>1281</v>
      </c>
      <c r="B704" s="1">
        <v>45204.76666666667</v>
      </c>
      <c r="C704" t="s">
        <v>1302</v>
      </c>
      <c r="D704">
        <v>9</v>
      </c>
      <c r="E704" t="s">
        <v>797</v>
      </c>
      <c r="F704" s="4" t="s">
        <v>32</v>
      </c>
      <c r="G704" s="4" t="str">
        <f>IFERROR(VLOOKUP(C704,'Registre maintenance'!B:F,2,FALSE),"Non trouvé")</f>
        <v>Kasai-Central</v>
      </c>
      <c r="H704">
        <f>IFERROR(VLOOKUP(C704,'Registre maintenance'!B:F,3,FALSE),"Non trouvé")</f>
        <v>-12.560556999999999</v>
      </c>
      <c r="I704">
        <f>IFERROR(VLOOKUP(C704,'Registre maintenance'!B:F,4,FALSE),"Non trouvé")</f>
        <v>13.204014000000001</v>
      </c>
      <c r="J704" t="str">
        <f>IFERROR(VLOOKUP(C704,'Registre maintenance'!B:F,5,FALSE),"Non trouvé")</f>
        <v>4G</v>
      </c>
      <c r="K704" t="str">
        <f t="shared" si="100"/>
        <v>OK</v>
      </c>
    </row>
    <row r="705" spans="1:11" x14ac:dyDescent="0.3">
      <c r="A705" t="s">
        <v>1303</v>
      </c>
      <c r="B705" s="1">
        <v>45202.868055555547</v>
      </c>
      <c r="C705" t="s">
        <v>1000</v>
      </c>
      <c r="D705">
        <v>91</v>
      </c>
      <c r="E705" t="s">
        <v>795</v>
      </c>
      <c r="F705" s="4" t="str">
        <f t="shared" ref="F705:F706" si="109">F704</f>
        <v>Kasai-Central</v>
      </c>
      <c r="G705" s="4" t="str">
        <f>IFERROR(VLOOKUP(C705,'Registre maintenance'!B:F,2,FALSE),"Non trouvé")</f>
        <v>Non trouvé</v>
      </c>
      <c r="H705" t="str">
        <f>IFERROR(VLOOKUP(C705,'Registre maintenance'!B:F,3,FALSE),"Non trouvé")</f>
        <v>Non trouvé</v>
      </c>
      <c r="I705" t="str">
        <f>IFERROR(VLOOKUP(C705,'Registre maintenance'!B:F,4,FALSE),"Non trouvé")</f>
        <v>Non trouvé</v>
      </c>
      <c r="J705" t="str">
        <f>IFERROR(VLOOKUP(C705,'Registre maintenance'!B:F,5,FALSE),"Non trouvé")</f>
        <v>Non trouvé</v>
      </c>
      <c r="K705" t="str">
        <f t="shared" si="100"/>
        <v>Mismatch</v>
      </c>
    </row>
    <row r="706" spans="1:11" x14ac:dyDescent="0.3">
      <c r="A706" t="s">
        <v>1303</v>
      </c>
      <c r="B706" s="1">
        <v>45228.100694444453</v>
      </c>
      <c r="C706" t="s">
        <v>1046</v>
      </c>
      <c r="D706">
        <v>23</v>
      </c>
      <c r="E706" t="s">
        <v>797</v>
      </c>
      <c r="F706" s="4" t="str">
        <f t="shared" si="109"/>
        <v>Kasai-Central</v>
      </c>
      <c r="G706" s="4" t="str">
        <f>IFERROR(VLOOKUP(C706,'Registre maintenance'!B:F,2,FALSE),"Non trouvé")</f>
        <v>Non trouvé</v>
      </c>
      <c r="H706" t="str">
        <f>IFERROR(VLOOKUP(C706,'Registre maintenance'!B:F,3,FALSE),"Non trouvé")</f>
        <v>Non trouvé</v>
      </c>
      <c r="I706" t="str">
        <f>IFERROR(VLOOKUP(C706,'Registre maintenance'!B:F,4,FALSE),"Non trouvé")</f>
        <v>Non trouvé</v>
      </c>
      <c r="J706" t="str">
        <f>IFERROR(VLOOKUP(C706,'Registre maintenance'!B:F,5,FALSE),"Non trouvé")</f>
        <v>Non trouvé</v>
      </c>
      <c r="K706" t="str">
        <f t="shared" ref="K706:K769" si="110">IF(F706=G706,"OK","Mismatch")</f>
        <v>Mismatch</v>
      </c>
    </row>
    <row r="707" spans="1:11" x14ac:dyDescent="0.3">
      <c r="A707" t="s">
        <v>1303</v>
      </c>
      <c r="B707" s="1">
        <v>45216.970138888893</v>
      </c>
      <c r="C707" t="s">
        <v>1117</v>
      </c>
      <c r="D707">
        <v>13</v>
      </c>
      <c r="E707" t="s">
        <v>797</v>
      </c>
      <c r="F707" s="4" t="s">
        <v>25</v>
      </c>
      <c r="G707" s="4" t="str">
        <f>IFERROR(VLOOKUP(C707,'Registre maintenance'!B:F,2,FALSE),"Non trouvé")</f>
        <v>Bas-Uele</v>
      </c>
      <c r="H707">
        <f>IFERROR(VLOOKUP(C707,'Registre maintenance'!B:F,3,FALSE),"Non trouvé")</f>
        <v>-6.4197189999999997</v>
      </c>
      <c r="I707">
        <f>IFERROR(VLOOKUP(C707,'Registre maintenance'!B:F,4,FALSE),"Non trouvé")</f>
        <v>22.287264</v>
      </c>
      <c r="J707" t="str">
        <f>IFERROR(VLOOKUP(C707,'Registre maintenance'!B:F,5,FALSE),"Non trouvé")</f>
        <v>3G</v>
      </c>
      <c r="K707" t="str">
        <f t="shared" si="110"/>
        <v>OK</v>
      </c>
    </row>
    <row r="708" spans="1:11" x14ac:dyDescent="0.3">
      <c r="A708" t="s">
        <v>1303</v>
      </c>
      <c r="B708" s="1">
        <v>45222.478472222218</v>
      </c>
      <c r="C708" t="s">
        <v>819</v>
      </c>
      <c r="D708">
        <v>72</v>
      </c>
      <c r="E708" t="s">
        <v>795</v>
      </c>
      <c r="F708" s="4" t="str">
        <f>F707</f>
        <v>Bas-Uele</v>
      </c>
      <c r="G708" s="4" t="str">
        <f>IFERROR(VLOOKUP(C708,'Registre maintenance'!B:F,2,FALSE),"Non trouvé")</f>
        <v>Non trouvé</v>
      </c>
      <c r="H708" t="str">
        <f>IFERROR(VLOOKUP(C708,'Registre maintenance'!B:F,3,FALSE),"Non trouvé")</f>
        <v>Non trouvé</v>
      </c>
      <c r="I708" t="str">
        <f>IFERROR(VLOOKUP(C708,'Registre maintenance'!B:F,4,FALSE),"Non trouvé")</f>
        <v>Non trouvé</v>
      </c>
      <c r="J708" t="str">
        <f>IFERROR(VLOOKUP(C708,'Registre maintenance'!B:F,5,FALSE),"Non trouvé")</f>
        <v>Non trouvé</v>
      </c>
      <c r="K708" t="str">
        <f t="shared" si="110"/>
        <v>Mismatch</v>
      </c>
    </row>
    <row r="709" spans="1:11" x14ac:dyDescent="0.3">
      <c r="A709" t="s">
        <v>1303</v>
      </c>
      <c r="B709" s="1">
        <v>45230.638888888891</v>
      </c>
      <c r="C709" t="s">
        <v>1304</v>
      </c>
      <c r="D709">
        <v>77</v>
      </c>
      <c r="E709" t="s">
        <v>795</v>
      </c>
      <c r="F709" s="4" t="s">
        <v>63</v>
      </c>
      <c r="G709" s="4" t="str">
        <f>IFERROR(VLOOKUP(C709,'Registre maintenance'!B:F,2,FALSE),"Non trouvé")</f>
        <v>Kinshasa</v>
      </c>
      <c r="H709">
        <f>IFERROR(VLOOKUP(C709,'Registre maintenance'!B:F,3,FALSE),"Non trouvé")</f>
        <v>-0.57104900000000003</v>
      </c>
      <c r="I709">
        <f>IFERROR(VLOOKUP(C709,'Registre maintenance'!B:F,4,FALSE),"Non trouvé")</f>
        <v>15.317663</v>
      </c>
      <c r="J709" t="str">
        <f>IFERROR(VLOOKUP(C709,'Registre maintenance'!B:F,5,FALSE),"Non trouvé")</f>
        <v>5G</v>
      </c>
      <c r="K709" t="str">
        <f t="shared" si="110"/>
        <v>OK</v>
      </c>
    </row>
    <row r="710" spans="1:11" x14ac:dyDescent="0.3">
      <c r="A710" t="s">
        <v>1303</v>
      </c>
      <c r="B710" s="1">
        <v>45218.038194444453</v>
      </c>
      <c r="C710" t="s">
        <v>869</v>
      </c>
      <c r="D710">
        <v>6</v>
      </c>
      <c r="E710" t="s">
        <v>792</v>
      </c>
      <c r="F710" s="4" t="str">
        <f t="shared" ref="F710:F711" si="111">F709</f>
        <v>Kinshasa</v>
      </c>
      <c r="G710" s="4" t="str">
        <f>IFERROR(VLOOKUP(C710,'Registre maintenance'!B:F,2,FALSE),"Non trouvé")</f>
        <v>Non trouvé</v>
      </c>
      <c r="H710" t="str">
        <f>IFERROR(VLOOKUP(C710,'Registre maintenance'!B:F,3,FALSE),"Non trouvé")</f>
        <v>Non trouvé</v>
      </c>
      <c r="I710" t="str">
        <f>IFERROR(VLOOKUP(C710,'Registre maintenance'!B:F,4,FALSE),"Non trouvé")</f>
        <v>Non trouvé</v>
      </c>
      <c r="J710" t="str">
        <f>IFERROR(VLOOKUP(C710,'Registre maintenance'!B:F,5,FALSE),"Non trouvé")</f>
        <v>Non trouvé</v>
      </c>
      <c r="K710" t="str">
        <f t="shared" si="110"/>
        <v>Mismatch</v>
      </c>
    </row>
    <row r="711" spans="1:11" x14ac:dyDescent="0.3">
      <c r="A711" t="s">
        <v>1303</v>
      </c>
      <c r="B711" s="1">
        <v>45224.961805555547</v>
      </c>
      <c r="C711" t="s">
        <v>1267</v>
      </c>
      <c r="D711">
        <v>83</v>
      </c>
      <c r="E711" t="s">
        <v>797</v>
      </c>
      <c r="F711" s="4" t="str">
        <f t="shared" si="111"/>
        <v>Kinshasa</v>
      </c>
      <c r="G711" s="4" t="str">
        <f>IFERROR(VLOOKUP(C711,'Registre maintenance'!B:F,2,FALSE),"Non trouvé")</f>
        <v>Non trouvé</v>
      </c>
      <c r="H711" t="str">
        <f>IFERROR(VLOOKUP(C711,'Registre maintenance'!B:F,3,FALSE),"Non trouvé")</f>
        <v>Non trouvé</v>
      </c>
      <c r="I711" t="str">
        <f>IFERROR(VLOOKUP(C711,'Registre maintenance'!B:F,4,FALSE),"Non trouvé")</f>
        <v>Non trouvé</v>
      </c>
      <c r="J711" t="str">
        <f>IFERROR(VLOOKUP(C711,'Registre maintenance'!B:F,5,FALSE),"Non trouvé")</f>
        <v>Non trouvé</v>
      </c>
      <c r="K711" t="str">
        <f t="shared" si="110"/>
        <v>Mismatch</v>
      </c>
    </row>
    <row r="712" spans="1:11" x14ac:dyDescent="0.3">
      <c r="A712" t="s">
        <v>1303</v>
      </c>
      <c r="B712" s="1">
        <v>45223.611111111109</v>
      </c>
      <c r="C712" t="s">
        <v>1254</v>
      </c>
      <c r="D712">
        <v>88</v>
      </c>
      <c r="E712" t="s">
        <v>792</v>
      </c>
      <c r="F712" s="4" t="s">
        <v>135</v>
      </c>
      <c r="G712" s="4" t="str">
        <f>IFERROR(VLOOKUP(C712,'Registre maintenance'!B:F,2,FALSE),"Non trouvé")</f>
        <v>Lualaba</v>
      </c>
      <c r="H712">
        <f>IFERROR(VLOOKUP(C712,'Registre maintenance'!B:F,3,FALSE),"Non trouvé")</f>
        <v>-8.0301989999999996</v>
      </c>
      <c r="I712">
        <f>IFERROR(VLOOKUP(C712,'Registre maintenance'!B:F,4,FALSE),"Non trouvé")</f>
        <v>24.122495000000001</v>
      </c>
      <c r="J712" t="str">
        <f>IFERROR(VLOOKUP(C712,'Registre maintenance'!B:F,5,FALSE),"Non trouvé")</f>
        <v>5G</v>
      </c>
      <c r="K712" t="str">
        <f t="shared" si="110"/>
        <v>OK</v>
      </c>
    </row>
    <row r="713" spans="1:11" x14ac:dyDescent="0.3">
      <c r="A713" t="s">
        <v>1303</v>
      </c>
      <c r="B713" s="1">
        <v>45221.931944444441</v>
      </c>
      <c r="C713" t="s">
        <v>1305</v>
      </c>
      <c r="D713">
        <v>26</v>
      </c>
      <c r="E713" t="s">
        <v>792</v>
      </c>
      <c r="F713" s="4" t="str">
        <f t="shared" ref="F713:F716" si="112">F712</f>
        <v>Lualaba</v>
      </c>
      <c r="G713" s="4" t="str">
        <f>IFERROR(VLOOKUP(C713,'Registre maintenance'!B:F,2,FALSE),"Non trouvé")</f>
        <v>Non trouvé</v>
      </c>
      <c r="H713" t="str">
        <f>IFERROR(VLOOKUP(C713,'Registre maintenance'!B:F,3,FALSE),"Non trouvé")</f>
        <v>Non trouvé</v>
      </c>
      <c r="I713" t="str">
        <f>IFERROR(VLOOKUP(C713,'Registre maintenance'!B:F,4,FALSE),"Non trouvé")</f>
        <v>Non trouvé</v>
      </c>
      <c r="J713" t="str">
        <f>IFERROR(VLOOKUP(C713,'Registre maintenance'!B:F,5,FALSE),"Non trouvé")</f>
        <v>Non trouvé</v>
      </c>
      <c r="K713" t="str">
        <f t="shared" si="110"/>
        <v>Mismatch</v>
      </c>
    </row>
    <row r="714" spans="1:11" x14ac:dyDescent="0.3">
      <c r="A714" t="s">
        <v>1303</v>
      </c>
      <c r="B714" s="1">
        <v>45227.118055555547</v>
      </c>
      <c r="C714" t="s">
        <v>1306</v>
      </c>
      <c r="D714">
        <v>61</v>
      </c>
      <c r="E714" t="s">
        <v>795</v>
      </c>
      <c r="F714" s="4" t="str">
        <f t="shared" si="112"/>
        <v>Lualaba</v>
      </c>
      <c r="G714" s="4" t="str">
        <f>IFERROR(VLOOKUP(C714,'Registre maintenance'!B:F,2,FALSE),"Non trouvé")</f>
        <v>Non trouvé</v>
      </c>
      <c r="H714" t="str">
        <f>IFERROR(VLOOKUP(C714,'Registre maintenance'!B:F,3,FALSE),"Non trouvé")</f>
        <v>Non trouvé</v>
      </c>
      <c r="I714" t="str">
        <f>IFERROR(VLOOKUP(C714,'Registre maintenance'!B:F,4,FALSE),"Non trouvé")</f>
        <v>Non trouvé</v>
      </c>
      <c r="J714" t="str">
        <f>IFERROR(VLOOKUP(C714,'Registre maintenance'!B:F,5,FALSE),"Non trouvé")</f>
        <v>Non trouvé</v>
      </c>
      <c r="K714" t="str">
        <f t="shared" si="110"/>
        <v>Mismatch</v>
      </c>
    </row>
    <row r="715" spans="1:11" x14ac:dyDescent="0.3">
      <c r="A715" t="s">
        <v>1303</v>
      </c>
      <c r="B715" s="1">
        <v>45217.509027777778</v>
      </c>
      <c r="C715" t="s">
        <v>798</v>
      </c>
      <c r="D715">
        <v>49</v>
      </c>
      <c r="E715" t="s">
        <v>792</v>
      </c>
      <c r="F715" s="4" t="str">
        <f t="shared" si="112"/>
        <v>Lualaba</v>
      </c>
      <c r="G715" s="4" t="str">
        <f>IFERROR(VLOOKUP(C715,'Registre maintenance'!B:F,2,FALSE),"Non trouvé")</f>
        <v>Non trouvé</v>
      </c>
      <c r="H715" t="str">
        <f>IFERROR(VLOOKUP(C715,'Registre maintenance'!B:F,3,FALSE),"Non trouvé")</f>
        <v>Non trouvé</v>
      </c>
      <c r="I715" t="str">
        <f>IFERROR(VLOOKUP(C715,'Registre maintenance'!B:F,4,FALSE),"Non trouvé")</f>
        <v>Non trouvé</v>
      </c>
      <c r="J715" t="str">
        <f>IFERROR(VLOOKUP(C715,'Registre maintenance'!B:F,5,FALSE),"Non trouvé")</f>
        <v>Non trouvé</v>
      </c>
      <c r="K715" t="str">
        <f t="shared" si="110"/>
        <v>Mismatch</v>
      </c>
    </row>
    <row r="716" spans="1:11" x14ac:dyDescent="0.3">
      <c r="A716" t="s">
        <v>1303</v>
      </c>
      <c r="B716" s="1">
        <v>45230.577777777777</v>
      </c>
      <c r="C716" t="s">
        <v>1307</v>
      </c>
      <c r="D716">
        <v>97</v>
      </c>
      <c r="E716" t="s">
        <v>792</v>
      </c>
      <c r="F716" s="4" t="str">
        <f t="shared" si="112"/>
        <v>Lualaba</v>
      </c>
      <c r="G716" s="4" t="str">
        <f>IFERROR(VLOOKUP(C716,'Registre maintenance'!B:F,2,FALSE),"Non trouvé")</f>
        <v>Non trouvé</v>
      </c>
      <c r="H716" t="str">
        <f>IFERROR(VLOOKUP(C716,'Registre maintenance'!B:F,3,FALSE),"Non trouvé")</f>
        <v>Non trouvé</v>
      </c>
      <c r="I716" t="str">
        <f>IFERROR(VLOOKUP(C716,'Registre maintenance'!B:F,4,FALSE),"Non trouvé")</f>
        <v>Non trouvé</v>
      </c>
      <c r="J716" t="str">
        <f>IFERROR(VLOOKUP(C716,'Registre maintenance'!B:F,5,FALSE),"Non trouvé")</f>
        <v>Non trouvé</v>
      </c>
      <c r="K716" t="str">
        <f t="shared" si="110"/>
        <v>Mismatch</v>
      </c>
    </row>
    <row r="717" spans="1:11" x14ac:dyDescent="0.3">
      <c r="A717" t="s">
        <v>1303</v>
      </c>
      <c r="B717" s="1">
        <v>45206.636805555558</v>
      </c>
      <c r="C717" t="s">
        <v>1308</v>
      </c>
      <c r="D717">
        <v>32</v>
      </c>
      <c r="E717" t="s">
        <v>797</v>
      </c>
      <c r="F717" s="4" t="s">
        <v>20</v>
      </c>
      <c r="G717" s="4" t="str">
        <f>IFERROR(VLOOKUP(C717,'Registre maintenance'!B:F,2,FALSE),"Non trouvé")</f>
        <v>Sud-Kivu</v>
      </c>
      <c r="H717">
        <f>IFERROR(VLOOKUP(C717,'Registre maintenance'!B:F,3,FALSE),"Non trouvé")</f>
        <v>-11.514817000000001</v>
      </c>
      <c r="I717">
        <f>IFERROR(VLOOKUP(C717,'Registre maintenance'!B:F,4,FALSE),"Non trouvé")</f>
        <v>24.891375</v>
      </c>
      <c r="J717" t="str">
        <f>IFERROR(VLOOKUP(C717,'Registre maintenance'!B:F,5,FALSE),"Non trouvé")</f>
        <v>3G</v>
      </c>
      <c r="K717" t="str">
        <f t="shared" si="110"/>
        <v>OK</v>
      </c>
    </row>
    <row r="718" spans="1:11" x14ac:dyDescent="0.3">
      <c r="A718" t="s">
        <v>1303</v>
      </c>
      <c r="B718" s="1">
        <v>45210.38958333333</v>
      </c>
      <c r="C718" t="s">
        <v>979</v>
      </c>
      <c r="D718">
        <v>85</v>
      </c>
      <c r="E718" t="s">
        <v>792</v>
      </c>
      <c r="F718" s="4" t="s">
        <v>77</v>
      </c>
      <c r="G718" s="4" t="str">
        <f>IFERROR(VLOOKUP(C718,'Registre maintenance'!B:F,2,FALSE),"Non trouvé")</f>
        <v>Maniema</v>
      </c>
      <c r="H718">
        <f>IFERROR(VLOOKUP(C718,'Registre maintenance'!B:F,3,FALSE),"Non trouvé")</f>
        <v>-4.2645619999999997</v>
      </c>
      <c r="I718">
        <f>IFERROR(VLOOKUP(C718,'Registre maintenance'!B:F,4,FALSE),"Non trouvé")</f>
        <v>18.960726000000001</v>
      </c>
      <c r="J718" t="str">
        <f>IFERROR(VLOOKUP(C718,'Registre maintenance'!B:F,5,FALSE),"Non trouvé")</f>
        <v>4G</v>
      </c>
      <c r="K718" t="str">
        <f t="shared" si="110"/>
        <v>OK</v>
      </c>
    </row>
    <row r="719" spans="1:11" x14ac:dyDescent="0.3">
      <c r="A719" t="s">
        <v>1303</v>
      </c>
      <c r="B719" s="1">
        <v>45217.755555555559</v>
      </c>
      <c r="C719" t="s">
        <v>1309</v>
      </c>
      <c r="D719">
        <v>100</v>
      </c>
      <c r="E719" t="s">
        <v>792</v>
      </c>
      <c r="F719" s="4" t="s">
        <v>125</v>
      </c>
      <c r="G719" s="4" t="str">
        <f>IFERROR(VLOOKUP(C719,'Registre maintenance'!B:F,2,FALSE),"Non trouvé")</f>
        <v>Haut-Uele</v>
      </c>
      <c r="H719">
        <f>IFERROR(VLOOKUP(C719,'Registre maintenance'!B:F,3,FALSE),"Non trouvé")</f>
        <v>-3.003879</v>
      </c>
      <c r="I719">
        <f>IFERROR(VLOOKUP(C719,'Registre maintenance'!B:F,4,FALSE),"Non trouvé")</f>
        <v>23.633893</v>
      </c>
      <c r="J719" t="str">
        <f>IFERROR(VLOOKUP(C719,'Registre maintenance'!B:F,5,FALSE),"Non trouvé")</f>
        <v>5G</v>
      </c>
      <c r="K719" t="str">
        <f t="shared" si="110"/>
        <v>OK</v>
      </c>
    </row>
    <row r="720" spans="1:11" x14ac:dyDescent="0.3">
      <c r="A720" t="s">
        <v>1303</v>
      </c>
      <c r="B720" s="1">
        <v>45218.659722222219</v>
      </c>
      <c r="C720" t="s">
        <v>1310</v>
      </c>
      <c r="D720">
        <v>24</v>
      </c>
      <c r="E720" t="s">
        <v>792</v>
      </c>
      <c r="F720" s="4" t="str">
        <f>F719</f>
        <v>Haut-Uele</v>
      </c>
      <c r="G720" s="4" t="str">
        <f>IFERROR(VLOOKUP(C720,'Registre maintenance'!B:F,2,FALSE),"Non trouvé")</f>
        <v>Non trouvé</v>
      </c>
      <c r="H720" t="str">
        <f>IFERROR(VLOOKUP(C720,'Registre maintenance'!B:F,3,FALSE),"Non trouvé")</f>
        <v>Non trouvé</v>
      </c>
      <c r="I720" t="str">
        <f>IFERROR(VLOOKUP(C720,'Registre maintenance'!B:F,4,FALSE),"Non trouvé")</f>
        <v>Non trouvé</v>
      </c>
      <c r="J720" t="str">
        <f>IFERROR(VLOOKUP(C720,'Registre maintenance'!B:F,5,FALSE),"Non trouvé")</f>
        <v>Non trouvé</v>
      </c>
      <c r="K720" t="str">
        <f t="shared" si="110"/>
        <v>Mismatch</v>
      </c>
    </row>
    <row r="721" spans="1:11" x14ac:dyDescent="0.3">
      <c r="A721" t="s">
        <v>1303</v>
      </c>
      <c r="B721" s="1">
        <v>45210.908333333333</v>
      </c>
      <c r="C721" t="s">
        <v>1219</v>
      </c>
      <c r="D721">
        <v>57</v>
      </c>
      <c r="E721" t="s">
        <v>797</v>
      </c>
      <c r="F721" s="4" t="s">
        <v>87</v>
      </c>
      <c r="G721" s="4" t="str">
        <f>IFERROR(VLOOKUP(C721,'Registre maintenance'!B:F,2,FALSE),"Non trouvé")</f>
        <v>Nord-Ubangi</v>
      </c>
      <c r="H721">
        <f>IFERROR(VLOOKUP(C721,'Registre maintenance'!B:F,3,FALSE),"Non trouvé")</f>
        <v>8.5490999999999998E-2</v>
      </c>
      <c r="I721">
        <f>IFERROR(VLOOKUP(C721,'Registre maintenance'!B:F,4,FALSE),"Non trouvé")</f>
        <v>26.296129000000001</v>
      </c>
      <c r="J721" t="str">
        <f>IFERROR(VLOOKUP(C721,'Registre maintenance'!B:F,5,FALSE),"Non trouvé")</f>
        <v>3G</v>
      </c>
      <c r="K721" t="str">
        <f t="shared" si="110"/>
        <v>OK</v>
      </c>
    </row>
    <row r="722" spans="1:11" x14ac:dyDescent="0.3">
      <c r="A722" t="s">
        <v>1303</v>
      </c>
      <c r="B722" s="1">
        <v>45201.04583333333</v>
      </c>
      <c r="C722" t="s">
        <v>1020</v>
      </c>
      <c r="D722">
        <v>83</v>
      </c>
      <c r="E722" t="s">
        <v>795</v>
      </c>
      <c r="F722" s="4" t="str">
        <f>F721</f>
        <v>Nord-Ubangi</v>
      </c>
      <c r="G722" s="4" t="str">
        <f>IFERROR(VLOOKUP(C722,'Registre maintenance'!B:F,2,FALSE),"Non trouvé")</f>
        <v>Non trouvé</v>
      </c>
      <c r="H722" t="str">
        <f>IFERROR(VLOOKUP(C722,'Registre maintenance'!B:F,3,FALSE),"Non trouvé")</f>
        <v>Non trouvé</v>
      </c>
      <c r="I722" t="str">
        <f>IFERROR(VLOOKUP(C722,'Registre maintenance'!B:F,4,FALSE),"Non trouvé")</f>
        <v>Non trouvé</v>
      </c>
      <c r="J722" t="str">
        <f>IFERROR(VLOOKUP(C722,'Registre maintenance'!B:F,5,FALSE),"Non trouvé")</f>
        <v>Non trouvé</v>
      </c>
      <c r="K722" t="str">
        <f t="shared" si="110"/>
        <v>Mismatch</v>
      </c>
    </row>
    <row r="723" spans="1:11" x14ac:dyDescent="0.3">
      <c r="A723" t="s">
        <v>1303</v>
      </c>
      <c r="B723" s="1">
        <v>45220.584027777782</v>
      </c>
      <c r="C723" t="s">
        <v>1311</v>
      </c>
      <c r="D723">
        <v>92</v>
      </c>
      <c r="E723" t="s">
        <v>797</v>
      </c>
      <c r="F723" s="4" t="s">
        <v>87</v>
      </c>
      <c r="G723" s="4" t="str">
        <f>IFERROR(VLOOKUP(C723,'Registre maintenance'!B:F,2,FALSE),"Non trouvé")</f>
        <v>Nord-Ubangi</v>
      </c>
      <c r="H723">
        <f>IFERROR(VLOOKUP(C723,'Registre maintenance'!B:F,3,FALSE),"Non trouvé")</f>
        <v>-11.588665000000001</v>
      </c>
      <c r="I723">
        <f>IFERROR(VLOOKUP(C723,'Registre maintenance'!B:F,4,FALSE),"Non trouvé")</f>
        <v>15.241552</v>
      </c>
      <c r="J723" t="str">
        <f>IFERROR(VLOOKUP(C723,'Registre maintenance'!B:F,5,FALSE),"Non trouvé")</f>
        <v>4G</v>
      </c>
      <c r="K723" t="str">
        <f t="shared" si="110"/>
        <v>OK</v>
      </c>
    </row>
    <row r="724" spans="1:11" x14ac:dyDescent="0.3">
      <c r="A724" t="s">
        <v>1303</v>
      </c>
      <c r="B724" s="1">
        <v>45203.227777777778</v>
      </c>
      <c r="C724" t="s">
        <v>1018</v>
      </c>
      <c r="D724">
        <v>61</v>
      </c>
      <c r="E724" t="s">
        <v>795</v>
      </c>
      <c r="F724" s="4" t="str">
        <f>F723</f>
        <v>Nord-Ubangi</v>
      </c>
      <c r="G724" s="4" t="str">
        <f>IFERROR(VLOOKUP(C724,'Registre maintenance'!B:F,2,FALSE),"Non trouvé")</f>
        <v>Non trouvé</v>
      </c>
      <c r="H724" t="str">
        <f>IFERROR(VLOOKUP(C724,'Registre maintenance'!B:F,3,FALSE),"Non trouvé")</f>
        <v>Non trouvé</v>
      </c>
      <c r="I724" t="str">
        <f>IFERROR(VLOOKUP(C724,'Registre maintenance'!B:F,4,FALSE),"Non trouvé")</f>
        <v>Non trouvé</v>
      </c>
      <c r="J724" t="str">
        <f>IFERROR(VLOOKUP(C724,'Registre maintenance'!B:F,5,FALSE),"Non trouvé")</f>
        <v>Non trouvé</v>
      </c>
      <c r="K724" t="str">
        <f t="shared" si="110"/>
        <v>Mismatch</v>
      </c>
    </row>
    <row r="725" spans="1:11" x14ac:dyDescent="0.3">
      <c r="A725" t="s">
        <v>1303</v>
      </c>
      <c r="B725" s="1">
        <v>45214.018750000003</v>
      </c>
      <c r="C725" t="s">
        <v>939</v>
      </c>
      <c r="D725">
        <v>115</v>
      </c>
      <c r="E725" t="s">
        <v>795</v>
      </c>
      <c r="F725" s="4" t="s">
        <v>87</v>
      </c>
      <c r="G725" s="4" t="str">
        <f>IFERROR(VLOOKUP(C725,'Registre maintenance'!B:F,2,FALSE),"Non trouvé")</f>
        <v>Nord-Ubangi</v>
      </c>
      <c r="H725">
        <f>IFERROR(VLOOKUP(C725,'Registre maintenance'!B:F,3,FALSE),"Non trouvé")</f>
        <v>-1.342476</v>
      </c>
      <c r="I725">
        <f>IFERROR(VLOOKUP(C725,'Registre maintenance'!B:F,4,FALSE),"Non trouvé")</f>
        <v>15.986086</v>
      </c>
      <c r="J725" t="str">
        <f>IFERROR(VLOOKUP(C725,'Registre maintenance'!B:F,5,FALSE),"Non trouvé")</f>
        <v>4G</v>
      </c>
      <c r="K725" t="str">
        <f t="shared" si="110"/>
        <v>OK</v>
      </c>
    </row>
    <row r="726" spans="1:11" x14ac:dyDescent="0.3">
      <c r="A726" t="s">
        <v>1303</v>
      </c>
      <c r="B726" s="1">
        <v>45206.956944444442</v>
      </c>
      <c r="C726" t="s">
        <v>977</v>
      </c>
      <c r="D726">
        <v>32</v>
      </c>
      <c r="E726" t="s">
        <v>795</v>
      </c>
      <c r="F726" s="4" t="str">
        <f t="shared" ref="F726:F731" si="113">F725</f>
        <v>Nord-Ubangi</v>
      </c>
      <c r="G726" s="4" t="str">
        <f>IFERROR(VLOOKUP(C726,'Registre maintenance'!B:F,2,FALSE),"Non trouvé")</f>
        <v>Non trouvé</v>
      </c>
      <c r="H726" t="str">
        <f>IFERROR(VLOOKUP(C726,'Registre maintenance'!B:F,3,FALSE),"Non trouvé")</f>
        <v>Non trouvé</v>
      </c>
      <c r="I726" t="str">
        <f>IFERROR(VLOOKUP(C726,'Registre maintenance'!B:F,4,FALSE),"Non trouvé")</f>
        <v>Non trouvé</v>
      </c>
      <c r="J726" t="str">
        <f>IFERROR(VLOOKUP(C726,'Registre maintenance'!B:F,5,FALSE),"Non trouvé")</f>
        <v>Non trouvé</v>
      </c>
      <c r="K726" t="str">
        <f t="shared" si="110"/>
        <v>Mismatch</v>
      </c>
    </row>
    <row r="727" spans="1:11" x14ac:dyDescent="0.3">
      <c r="A727" t="s">
        <v>1303</v>
      </c>
      <c r="B727" s="1">
        <v>45204.84652777778</v>
      </c>
      <c r="C727" t="s">
        <v>1312</v>
      </c>
      <c r="D727">
        <v>16</v>
      </c>
      <c r="E727" t="s">
        <v>797</v>
      </c>
      <c r="F727" s="4" t="str">
        <f t="shared" si="113"/>
        <v>Nord-Ubangi</v>
      </c>
      <c r="G727" s="4" t="str">
        <f>IFERROR(VLOOKUP(C727,'Registre maintenance'!B:F,2,FALSE),"Non trouvé")</f>
        <v>Non trouvé</v>
      </c>
      <c r="H727" t="str">
        <f>IFERROR(VLOOKUP(C727,'Registre maintenance'!B:F,3,FALSE),"Non trouvé")</f>
        <v>Non trouvé</v>
      </c>
      <c r="I727" t="str">
        <f>IFERROR(VLOOKUP(C727,'Registre maintenance'!B:F,4,FALSE),"Non trouvé")</f>
        <v>Non trouvé</v>
      </c>
      <c r="J727" t="str">
        <f>IFERROR(VLOOKUP(C727,'Registre maintenance'!B:F,5,FALSE),"Non trouvé")</f>
        <v>Non trouvé</v>
      </c>
      <c r="K727" t="str">
        <f t="shared" si="110"/>
        <v>Mismatch</v>
      </c>
    </row>
    <row r="728" spans="1:11" x14ac:dyDescent="0.3">
      <c r="A728" t="s">
        <v>1303</v>
      </c>
      <c r="B728" s="1">
        <v>45205.336805555547</v>
      </c>
      <c r="C728" t="s">
        <v>1313</v>
      </c>
      <c r="D728">
        <v>119</v>
      </c>
      <c r="E728" t="s">
        <v>797</v>
      </c>
      <c r="F728" s="4" t="str">
        <f t="shared" si="113"/>
        <v>Nord-Ubangi</v>
      </c>
      <c r="G728" s="4" t="str">
        <f>IFERROR(VLOOKUP(C728,'Registre maintenance'!B:F,2,FALSE),"Non trouvé")</f>
        <v>Non trouvé</v>
      </c>
      <c r="H728" t="str">
        <f>IFERROR(VLOOKUP(C728,'Registre maintenance'!B:F,3,FALSE),"Non trouvé")</f>
        <v>Non trouvé</v>
      </c>
      <c r="I728" t="str">
        <f>IFERROR(VLOOKUP(C728,'Registre maintenance'!B:F,4,FALSE),"Non trouvé")</f>
        <v>Non trouvé</v>
      </c>
      <c r="J728" t="str">
        <f>IFERROR(VLOOKUP(C728,'Registre maintenance'!B:F,5,FALSE),"Non trouvé")</f>
        <v>Non trouvé</v>
      </c>
      <c r="K728" t="str">
        <f t="shared" si="110"/>
        <v>Mismatch</v>
      </c>
    </row>
    <row r="729" spans="1:11" x14ac:dyDescent="0.3">
      <c r="A729" t="s">
        <v>1303</v>
      </c>
      <c r="B729" s="1">
        <v>45220.469444444447</v>
      </c>
      <c r="C729" t="s">
        <v>1057</v>
      </c>
      <c r="D729">
        <v>17</v>
      </c>
      <c r="E729" t="s">
        <v>795</v>
      </c>
      <c r="F729" s="4" t="str">
        <f t="shared" si="113"/>
        <v>Nord-Ubangi</v>
      </c>
      <c r="G729" s="4" t="str">
        <f>IFERROR(VLOOKUP(C729,'Registre maintenance'!B:F,2,FALSE),"Non trouvé")</f>
        <v>Non trouvé</v>
      </c>
      <c r="H729" t="str">
        <f>IFERROR(VLOOKUP(C729,'Registre maintenance'!B:F,3,FALSE),"Non trouvé")</f>
        <v>Non trouvé</v>
      </c>
      <c r="I729" t="str">
        <f>IFERROR(VLOOKUP(C729,'Registre maintenance'!B:F,4,FALSE),"Non trouvé")</f>
        <v>Non trouvé</v>
      </c>
      <c r="J729" t="str">
        <f>IFERROR(VLOOKUP(C729,'Registre maintenance'!B:F,5,FALSE),"Non trouvé")</f>
        <v>Non trouvé</v>
      </c>
      <c r="K729" t="str">
        <f t="shared" si="110"/>
        <v>Mismatch</v>
      </c>
    </row>
    <row r="730" spans="1:11" x14ac:dyDescent="0.3">
      <c r="A730" t="s">
        <v>1303</v>
      </c>
      <c r="B730" s="1">
        <v>45202.487500000003</v>
      </c>
      <c r="C730" t="s">
        <v>1314</v>
      </c>
      <c r="D730">
        <v>22</v>
      </c>
      <c r="E730" t="s">
        <v>797</v>
      </c>
      <c r="F730" s="4" t="str">
        <f t="shared" si="113"/>
        <v>Nord-Ubangi</v>
      </c>
      <c r="G730" s="4" t="str">
        <f>IFERROR(VLOOKUP(C730,'Registre maintenance'!B:F,2,FALSE),"Non trouvé")</f>
        <v>Non trouvé</v>
      </c>
      <c r="H730" t="str">
        <f>IFERROR(VLOOKUP(C730,'Registre maintenance'!B:F,3,FALSE),"Non trouvé")</f>
        <v>Non trouvé</v>
      </c>
      <c r="I730" t="str">
        <f>IFERROR(VLOOKUP(C730,'Registre maintenance'!B:F,4,FALSE),"Non trouvé")</f>
        <v>Non trouvé</v>
      </c>
      <c r="J730" t="str">
        <f>IFERROR(VLOOKUP(C730,'Registre maintenance'!B:F,5,FALSE),"Non trouvé")</f>
        <v>Non trouvé</v>
      </c>
      <c r="K730" t="str">
        <f t="shared" si="110"/>
        <v>Mismatch</v>
      </c>
    </row>
    <row r="731" spans="1:11" x14ac:dyDescent="0.3">
      <c r="A731" t="s">
        <v>1303</v>
      </c>
      <c r="B731" s="1">
        <v>45228.840277777781</v>
      </c>
      <c r="C731" t="s">
        <v>834</v>
      </c>
      <c r="D731">
        <v>101</v>
      </c>
      <c r="E731" t="s">
        <v>792</v>
      </c>
      <c r="F731" s="4" t="str">
        <f t="shared" si="113"/>
        <v>Nord-Ubangi</v>
      </c>
      <c r="G731" s="4" t="str">
        <f>IFERROR(VLOOKUP(C731,'Registre maintenance'!B:F,2,FALSE),"Non trouvé")</f>
        <v>Non trouvé</v>
      </c>
      <c r="H731" t="str">
        <f>IFERROR(VLOOKUP(C731,'Registre maintenance'!B:F,3,FALSE),"Non trouvé")</f>
        <v>Non trouvé</v>
      </c>
      <c r="I731" t="str">
        <f>IFERROR(VLOOKUP(C731,'Registre maintenance'!B:F,4,FALSE),"Non trouvé")</f>
        <v>Non trouvé</v>
      </c>
      <c r="J731" t="str">
        <f>IFERROR(VLOOKUP(C731,'Registre maintenance'!B:F,5,FALSE),"Non trouvé")</f>
        <v>Non trouvé</v>
      </c>
      <c r="K731" t="str">
        <f t="shared" si="110"/>
        <v>Mismatch</v>
      </c>
    </row>
    <row r="732" spans="1:11" x14ac:dyDescent="0.3">
      <c r="A732" t="s">
        <v>1303</v>
      </c>
      <c r="B732" s="1">
        <v>45201.527777777781</v>
      </c>
      <c r="C732" t="s">
        <v>1315</v>
      </c>
      <c r="D732">
        <v>20</v>
      </c>
      <c r="E732" t="s">
        <v>795</v>
      </c>
      <c r="F732" s="4" t="s">
        <v>25</v>
      </c>
      <c r="G732" s="4" t="str">
        <f>IFERROR(VLOOKUP(C732,'Registre maintenance'!B:F,2,FALSE),"Non trouvé")</f>
        <v>Bas-Uele</v>
      </c>
      <c r="H732">
        <f>IFERROR(VLOOKUP(C732,'Registre maintenance'!B:F,3,FALSE),"Non trouvé")</f>
        <v>0.45116099999999998</v>
      </c>
      <c r="I732">
        <f>IFERROR(VLOOKUP(C732,'Registre maintenance'!B:F,4,FALSE),"Non trouvé")</f>
        <v>17.265761000000001</v>
      </c>
      <c r="J732" t="str">
        <f>IFERROR(VLOOKUP(C732,'Registre maintenance'!B:F,5,FALSE),"Non trouvé")</f>
        <v>4G</v>
      </c>
      <c r="K732" t="str">
        <f t="shared" si="110"/>
        <v>OK</v>
      </c>
    </row>
    <row r="733" spans="1:11" x14ac:dyDescent="0.3">
      <c r="A733" t="s">
        <v>1303</v>
      </c>
      <c r="B733" s="1">
        <v>45209.988888888889</v>
      </c>
      <c r="C733" t="s">
        <v>1316</v>
      </c>
      <c r="D733">
        <v>80</v>
      </c>
      <c r="E733" t="s">
        <v>795</v>
      </c>
      <c r="F733" s="4" t="str">
        <f t="shared" ref="F733:F742" si="114">F732</f>
        <v>Bas-Uele</v>
      </c>
      <c r="G733" s="4" t="str">
        <f>IFERROR(VLOOKUP(C733,'Registre maintenance'!B:F,2,FALSE),"Non trouvé")</f>
        <v>Non trouvé</v>
      </c>
      <c r="H733" t="str">
        <f>IFERROR(VLOOKUP(C733,'Registre maintenance'!B:F,3,FALSE),"Non trouvé")</f>
        <v>Non trouvé</v>
      </c>
      <c r="I733" t="str">
        <f>IFERROR(VLOOKUP(C733,'Registre maintenance'!B:F,4,FALSE),"Non trouvé")</f>
        <v>Non trouvé</v>
      </c>
      <c r="J733" t="str">
        <f>IFERROR(VLOOKUP(C733,'Registre maintenance'!B:F,5,FALSE),"Non trouvé")</f>
        <v>Non trouvé</v>
      </c>
      <c r="K733" t="str">
        <f t="shared" si="110"/>
        <v>Mismatch</v>
      </c>
    </row>
    <row r="734" spans="1:11" x14ac:dyDescent="0.3">
      <c r="A734" t="s">
        <v>1303</v>
      </c>
      <c r="B734" s="1">
        <v>45224.310416666667</v>
      </c>
      <c r="C734" t="s">
        <v>1223</v>
      </c>
      <c r="D734">
        <v>98</v>
      </c>
      <c r="E734" t="s">
        <v>795</v>
      </c>
      <c r="F734" s="4" t="str">
        <f t="shared" si="114"/>
        <v>Bas-Uele</v>
      </c>
      <c r="G734" s="4" t="str">
        <f>IFERROR(VLOOKUP(C734,'Registre maintenance'!B:F,2,FALSE),"Non trouvé")</f>
        <v>Non trouvé</v>
      </c>
      <c r="H734" t="str">
        <f>IFERROR(VLOOKUP(C734,'Registre maintenance'!B:F,3,FALSE),"Non trouvé")</f>
        <v>Non trouvé</v>
      </c>
      <c r="I734" t="str">
        <f>IFERROR(VLOOKUP(C734,'Registre maintenance'!B:F,4,FALSE),"Non trouvé")</f>
        <v>Non trouvé</v>
      </c>
      <c r="J734" t="str">
        <f>IFERROR(VLOOKUP(C734,'Registre maintenance'!B:F,5,FALSE),"Non trouvé")</f>
        <v>Non trouvé</v>
      </c>
      <c r="K734" t="str">
        <f t="shared" si="110"/>
        <v>Mismatch</v>
      </c>
    </row>
    <row r="735" spans="1:11" x14ac:dyDescent="0.3">
      <c r="A735" t="s">
        <v>1303</v>
      </c>
      <c r="B735" s="1">
        <v>45220.114583333343</v>
      </c>
      <c r="C735" t="s">
        <v>836</v>
      </c>
      <c r="D735">
        <v>54</v>
      </c>
      <c r="E735" t="s">
        <v>795</v>
      </c>
      <c r="F735" s="4" t="str">
        <f t="shared" si="114"/>
        <v>Bas-Uele</v>
      </c>
      <c r="G735" s="4" t="str">
        <f>IFERROR(VLOOKUP(C735,'Registre maintenance'!B:F,2,FALSE),"Non trouvé")</f>
        <v>Non trouvé</v>
      </c>
      <c r="H735" t="str">
        <f>IFERROR(VLOOKUP(C735,'Registre maintenance'!B:F,3,FALSE),"Non trouvé")</f>
        <v>Non trouvé</v>
      </c>
      <c r="I735" t="str">
        <f>IFERROR(VLOOKUP(C735,'Registre maintenance'!B:F,4,FALSE),"Non trouvé")</f>
        <v>Non trouvé</v>
      </c>
      <c r="J735" t="str">
        <f>IFERROR(VLOOKUP(C735,'Registre maintenance'!B:F,5,FALSE),"Non trouvé")</f>
        <v>Non trouvé</v>
      </c>
      <c r="K735" t="str">
        <f t="shared" si="110"/>
        <v>Mismatch</v>
      </c>
    </row>
    <row r="736" spans="1:11" x14ac:dyDescent="0.3">
      <c r="A736" t="s">
        <v>1303</v>
      </c>
      <c r="B736" s="1">
        <v>45203.009027777778</v>
      </c>
      <c r="C736" t="s">
        <v>1278</v>
      </c>
      <c r="D736">
        <v>49</v>
      </c>
      <c r="E736" t="s">
        <v>792</v>
      </c>
      <c r="F736" s="4" t="str">
        <f t="shared" si="114"/>
        <v>Bas-Uele</v>
      </c>
      <c r="G736" s="4" t="str">
        <f>IFERROR(VLOOKUP(C736,'Registre maintenance'!B:F,2,FALSE),"Non trouvé")</f>
        <v>Non trouvé</v>
      </c>
      <c r="H736" t="str">
        <f>IFERROR(VLOOKUP(C736,'Registre maintenance'!B:F,3,FALSE),"Non trouvé")</f>
        <v>Non trouvé</v>
      </c>
      <c r="I736" t="str">
        <f>IFERROR(VLOOKUP(C736,'Registre maintenance'!B:F,4,FALSE),"Non trouvé")</f>
        <v>Non trouvé</v>
      </c>
      <c r="J736" t="str">
        <f>IFERROR(VLOOKUP(C736,'Registre maintenance'!B:F,5,FALSE),"Non trouvé")</f>
        <v>Non trouvé</v>
      </c>
      <c r="K736" t="str">
        <f t="shared" si="110"/>
        <v>Mismatch</v>
      </c>
    </row>
    <row r="737" spans="1:11" x14ac:dyDescent="0.3">
      <c r="A737" t="s">
        <v>1303</v>
      </c>
      <c r="B737" s="1">
        <v>45215.088888888888</v>
      </c>
      <c r="C737" t="s">
        <v>1180</v>
      </c>
      <c r="D737">
        <v>59</v>
      </c>
      <c r="E737" t="s">
        <v>797</v>
      </c>
      <c r="F737" s="4" t="str">
        <f t="shared" si="114"/>
        <v>Bas-Uele</v>
      </c>
      <c r="G737" s="4" t="str">
        <f>IFERROR(VLOOKUP(C737,'Registre maintenance'!B:F,2,FALSE),"Non trouvé")</f>
        <v>Non trouvé</v>
      </c>
      <c r="H737" t="str">
        <f>IFERROR(VLOOKUP(C737,'Registre maintenance'!B:F,3,FALSE),"Non trouvé")</f>
        <v>Non trouvé</v>
      </c>
      <c r="I737" t="str">
        <f>IFERROR(VLOOKUP(C737,'Registre maintenance'!B:F,4,FALSE),"Non trouvé")</f>
        <v>Non trouvé</v>
      </c>
      <c r="J737" t="str">
        <f>IFERROR(VLOOKUP(C737,'Registre maintenance'!B:F,5,FALSE),"Non trouvé")</f>
        <v>Non trouvé</v>
      </c>
      <c r="K737" t="str">
        <f t="shared" si="110"/>
        <v>Mismatch</v>
      </c>
    </row>
    <row r="738" spans="1:11" x14ac:dyDescent="0.3">
      <c r="A738" t="s">
        <v>1303</v>
      </c>
      <c r="B738" s="1">
        <v>45218.314583333333</v>
      </c>
      <c r="C738" t="s">
        <v>1317</v>
      </c>
      <c r="D738">
        <v>45</v>
      </c>
      <c r="E738" t="s">
        <v>792</v>
      </c>
      <c r="F738" s="4" t="str">
        <f t="shared" si="114"/>
        <v>Bas-Uele</v>
      </c>
      <c r="G738" s="4" t="str">
        <f>IFERROR(VLOOKUP(C738,'Registre maintenance'!B:F,2,FALSE),"Non trouvé")</f>
        <v>Non trouvé</v>
      </c>
      <c r="H738" t="str">
        <f>IFERROR(VLOOKUP(C738,'Registre maintenance'!B:F,3,FALSE),"Non trouvé")</f>
        <v>Non trouvé</v>
      </c>
      <c r="I738" t="str">
        <f>IFERROR(VLOOKUP(C738,'Registre maintenance'!B:F,4,FALSE),"Non trouvé")</f>
        <v>Non trouvé</v>
      </c>
      <c r="J738" t="str">
        <f>IFERROR(VLOOKUP(C738,'Registre maintenance'!B:F,5,FALSE),"Non trouvé")</f>
        <v>Non trouvé</v>
      </c>
      <c r="K738" t="str">
        <f t="shared" si="110"/>
        <v>Mismatch</v>
      </c>
    </row>
    <row r="739" spans="1:11" x14ac:dyDescent="0.3">
      <c r="A739" t="s">
        <v>1303</v>
      </c>
      <c r="B739" s="1">
        <v>45221.583333333343</v>
      </c>
      <c r="C739" t="s">
        <v>1318</v>
      </c>
      <c r="D739">
        <v>106</v>
      </c>
      <c r="E739" t="s">
        <v>797</v>
      </c>
      <c r="F739" s="4" t="str">
        <f t="shared" si="114"/>
        <v>Bas-Uele</v>
      </c>
      <c r="G739" s="4" t="str">
        <f>IFERROR(VLOOKUP(C739,'Registre maintenance'!B:F,2,FALSE),"Non trouvé")</f>
        <v>Non trouvé</v>
      </c>
      <c r="H739" t="str">
        <f>IFERROR(VLOOKUP(C739,'Registre maintenance'!B:F,3,FALSE),"Non trouvé")</f>
        <v>Non trouvé</v>
      </c>
      <c r="I739" t="str">
        <f>IFERROR(VLOOKUP(C739,'Registre maintenance'!B:F,4,FALSE),"Non trouvé")</f>
        <v>Non trouvé</v>
      </c>
      <c r="J739" t="str">
        <f>IFERROR(VLOOKUP(C739,'Registre maintenance'!B:F,5,FALSE),"Non trouvé")</f>
        <v>Non trouvé</v>
      </c>
      <c r="K739" t="str">
        <f t="shared" si="110"/>
        <v>Mismatch</v>
      </c>
    </row>
    <row r="740" spans="1:11" x14ac:dyDescent="0.3">
      <c r="A740" t="s">
        <v>1303</v>
      </c>
      <c r="B740" s="1">
        <v>45200.931250000001</v>
      </c>
      <c r="C740" t="s">
        <v>1099</v>
      </c>
      <c r="D740">
        <v>22</v>
      </c>
      <c r="E740" t="s">
        <v>792</v>
      </c>
      <c r="F740" s="4" t="str">
        <f t="shared" si="114"/>
        <v>Bas-Uele</v>
      </c>
      <c r="G740" s="4" t="str">
        <f>IFERROR(VLOOKUP(C740,'Registre maintenance'!B:F,2,FALSE),"Non trouvé")</f>
        <v>Non trouvé</v>
      </c>
      <c r="H740" t="str">
        <f>IFERROR(VLOOKUP(C740,'Registre maintenance'!B:F,3,FALSE),"Non trouvé")</f>
        <v>Non trouvé</v>
      </c>
      <c r="I740" t="str">
        <f>IFERROR(VLOOKUP(C740,'Registre maintenance'!B:F,4,FALSE),"Non trouvé")</f>
        <v>Non trouvé</v>
      </c>
      <c r="J740" t="str">
        <f>IFERROR(VLOOKUP(C740,'Registre maintenance'!B:F,5,FALSE),"Non trouvé")</f>
        <v>Non trouvé</v>
      </c>
      <c r="K740" t="str">
        <f t="shared" si="110"/>
        <v>Mismatch</v>
      </c>
    </row>
    <row r="741" spans="1:11" x14ac:dyDescent="0.3">
      <c r="A741" t="s">
        <v>1303</v>
      </c>
      <c r="B741" s="1">
        <v>45226.163194444453</v>
      </c>
      <c r="C741" t="s">
        <v>1319</v>
      </c>
      <c r="D741">
        <v>36</v>
      </c>
      <c r="E741" t="s">
        <v>795</v>
      </c>
      <c r="F741" s="4" t="str">
        <f t="shared" si="114"/>
        <v>Bas-Uele</v>
      </c>
      <c r="G741" s="4" t="str">
        <f>IFERROR(VLOOKUP(C741,'Registre maintenance'!B:F,2,FALSE),"Non trouvé")</f>
        <v>Non trouvé</v>
      </c>
      <c r="H741" t="str">
        <f>IFERROR(VLOOKUP(C741,'Registre maintenance'!B:F,3,FALSE),"Non trouvé")</f>
        <v>Non trouvé</v>
      </c>
      <c r="I741" t="str">
        <f>IFERROR(VLOOKUP(C741,'Registre maintenance'!B:F,4,FALSE),"Non trouvé")</f>
        <v>Non trouvé</v>
      </c>
      <c r="J741" t="str">
        <f>IFERROR(VLOOKUP(C741,'Registre maintenance'!B:F,5,FALSE),"Non trouvé")</f>
        <v>Non trouvé</v>
      </c>
      <c r="K741" t="str">
        <f t="shared" si="110"/>
        <v>Mismatch</v>
      </c>
    </row>
    <row r="742" spans="1:11" x14ac:dyDescent="0.3">
      <c r="A742" t="s">
        <v>1303</v>
      </c>
      <c r="B742" s="1">
        <v>45213.922222222223</v>
      </c>
      <c r="C742" t="s">
        <v>1230</v>
      </c>
      <c r="D742">
        <v>40</v>
      </c>
      <c r="E742" t="s">
        <v>792</v>
      </c>
      <c r="F742" s="4" t="str">
        <f t="shared" si="114"/>
        <v>Bas-Uele</v>
      </c>
      <c r="G742" s="4" t="str">
        <f>IFERROR(VLOOKUP(C742,'Registre maintenance'!B:F,2,FALSE),"Non trouvé")</f>
        <v>Non trouvé</v>
      </c>
      <c r="H742" t="str">
        <f>IFERROR(VLOOKUP(C742,'Registre maintenance'!B:F,3,FALSE),"Non trouvé")</f>
        <v>Non trouvé</v>
      </c>
      <c r="I742" t="str">
        <f>IFERROR(VLOOKUP(C742,'Registre maintenance'!B:F,4,FALSE),"Non trouvé")</f>
        <v>Non trouvé</v>
      </c>
      <c r="J742" t="str">
        <f>IFERROR(VLOOKUP(C742,'Registre maintenance'!B:F,5,FALSE),"Non trouvé")</f>
        <v>Non trouvé</v>
      </c>
      <c r="K742" t="str">
        <f t="shared" si="110"/>
        <v>Mismatch</v>
      </c>
    </row>
    <row r="743" spans="1:11" x14ac:dyDescent="0.3">
      <c r="A743" t="s">
        <v>1303</v>
      </c>
      <c r="B743" s="1">
        <v>45215.093055555553</v>
      </c>
      <c r="C743" t="s">
        <v>1320</v>
      </c>
      <c r="D743">
        <v>87</v>
      </c>
      <c r="E743" t="s">
        <v>792</v>
      </c>
      <c r="F743" s="4" t="s">
        <v>15</v>
      </c>
      <c r="G743" s="4" t="str">
        <f>IFERROR(VLOOKUP(C743,'Registre maintenance'!B:F,2,FALSE),"Non trouvé")</f>
        <v>Mongala</v>
      </c>
      <c r="H743">
        <f>IFERROR(VLOOKUP(C743,'Registre maintenance'!B:F,3,FALSE),"Non trouvé")</f>
        <v>-7.6951369999999999</v>
      </c>
      <c r="I743">
        <f>IFERROR(VLOOKUP(C743,'Registre maintenance'!B:F,4,FALSE),"Non trouvé")</f>
        <v>13.346605</v>
      </c>
      <c r="J743" t="str">
        <f>IFERROR(VLOOKUP(C743,'Registre maintenance'!B:F,5,FALSE),"Non trouvé")</f>
        <v>4G</v>
      </c>
      <c r="K743" t="str">
        <f t="shared" si="110"/>
        <v>OK</v>
      </c>
    </row>
    <row r="744" spans="1:11" x14ac:dyDescent="0.3">
      <c r="A744" t="s">
        <v>1303</v>
      </c>
      <c r="B744" s="1">
        <v>45212.115277777782</v>
      </c>
      <c r="C744" t="s">
        <v>1112</v>
      </c>
      <c r="D744">
        <v>15</v>
      </c>
      <c r="E744" t="s">
        <v>795</v>
      </c>
      <c r="F744" s="4" t="s">
        <v>17</v>
      </c>
      <c r="G744" s="4" t="str">
        <f>IFERROR(VLOOKUP(C744,'Registre maintenance'!B:F,2,FALSE),"Non trouvé")</f>
        <v>Haut-Lomami</v>
      </c>
      <c r="H744">
        <f>IFERROR(VLOOKUP(C744,'Registre maintenance'!B:F,3,FALSE),"Non trouvé")</f>
        <v>-7.1785899999999998</v>
      </c>
      <c r="I744">
        <f>IFERROR(VLOOKUP(C744,'Registre maintenance'!B:F,4,FALSE),"Non trouvé")</f>
        <v>24.4404</v>
      </c>
      <c r="J744" t="str">
        <f>IFERROR(VLOOKUP(C744,'Registre maintenance'!B:F,5,FALSE),"Non trouvé")</f>
        <v>4G</v>
      </c>
      <c r="K744" t="str">
        <f t="shared" si="110"/>
        <v>OK</v>
      </c>
    </row>
    <row r="745" spans="1:11" x14ac:dyDescent="0.3">
      <c r="A745" t="s">
        <v>1303</v>
      </c>
      <c r="B745" s="1">
        <v>45225.129166666673</v>
      </c>
      <c r="C745" t="s">
        <v>886</v>
      </c>
      <c r="D745">
        <v>36</v>
      </c>
      <c r="E745" t="s">
        <v>797</v>
      </c>
      <c r="F745" s="4" t="str">
        <f>F744</f>
        <v>Haut-Lomami</v>
      </c>
      <c r="G745" s="4" t="str">
        <f>IFERROR(VLOOKUP(C745,'Registre maintenance'!B:F,2,FALSE),"Non trouvé")</f>
        <v>Non trouvé</v>
      </c>
      <c r="H745" t="str">
        <f>IFERROR(VLOOKUP(C745,'Registre maintenance'!B:F,3,FALSE),"Non trouvé")</f>
        <v>Non trouvé</v>
      </c>
      <c r="I745" t="str">
        <f>IFERROR(VLOOKUP(C745,'Registre maintenance'!B:F,4,FALSE),"Non trouvé")</f>
        <v>Non trouvé</v>
      </c>
      <c r="J745" t="str">
        <f>IFERROR(VLOOKUP(C745,'Registre maintenance'!B:F,5,FALSE),"Non trouvé")</f>
        <v>Non trouvé</v>
      </c>
      <c r="K745" t="str">
        <f t="shared" si="110"/>
        <v>Mismatch</v>
      </c>
    </row>
    <row r="746" spans="1:11" x14ac:dyDescent="0.3">
      <c r="A746" t="s">
        <v>1303</v>
      </c>
      <c r="B746" s="1">
        <v>45210.49722222222</v>
      </c>
      <c r="C746" t="s">
        <v>1024</v>
      </c>
      <c r="D746">
        <v>75</v>
      </c>
      <c r="E746" t="s">
        <v>797</v>
      </c>
      <c r="F746" s="4" t="s">
        <v>20</v>
      </c>
      <c r="G746" s="4" t="str">
        <f>IFERROR(VLOOKUP(C746,'Registre maintenance'!B:F,2,FALSE),"Non trouvé")</f>
        <v>Sud-Kivu</v>
      </c>
      <c r="H746">
        <f>IFERROR(VLOOKUP(C746,'Registre maintenance'!B:F,3,FALSE),"Non trouvé")</f>
        <v>-9.3900009999999998</v>
      </c>
      <c r="I746">
        <f>IFERROR(VLOOKUP(C746,'Registre maintenance'!B:F,4,FALSE),"Non trouvé")</f>
        <v>30.001517</v>
      </c>
      <c r="J746" t="str">
        <f>IFERROR(VLOOKUP(C746,'Registre maintenance'!B:F,5,FALSE),"Non trouvé")</f>
        <v>3G</v>
      </c>
      <c r="K746" t="str">
        <f t="shared" si="110"/>
        <v>OK</v>
      </c>
    </row>
    <row r="747" spans="1:11" x14ac:dyDescent="0.3">
      <c r="A747" t="s">
        <v>1303</v>
      </c>
      <c r="B747" s="1">
        <v>45209.183333333327</v>
      </c>
      <c r="C747" t="s">
        <v>1321</v>
      </c>
      <c r="D747">
        <v>81</v>
      </c>
      <c r="E747" t="s">
        <v>795</v>
      </c>
      <c r="F747" s="4" t="str">
        <f>F746</f>
        <v>Sud-Kivu</v>
      </c>
      <c r="G747" s="4" t="str">
        <f>IFERROR(VLOOKUP(C747,'Registre maintenance'!B:F,2,FALSE),"Non trouvé")</f>
        <v>Non trouvé</v>
      </c>
      <c r="H747" t="str">
        <f>IFERROR(VLOOKUP(C747,'Registre maintenance'!B:F,3,FALSE),"Non trouvé")</f>
        <v>Non trouvé</v>
      </c>
      <c r="I747" t="str">
        <f>IFERROR(VLOOKUP(C747,'Registre maintenance'!B:F,4,FALSE),"Non trouvé")</f>
        <v>Non trouvé</v>
      </c>
      <c r="J747" t="str">
        <f>IFERROR(VLOOKUP(C747,'Registre maintenance'!B:F,5,FALSE),"Non trouvé")</f>
        <v>Non trouvé</v>
      </c>
      <c r="K747" t="str">
        <f t="shared" si="110"/>
        <v>Mismatch</v>
      </c>
    </row>
    <row r="748" spans="1:11" x14ac:dyDescent="0.3">
      <c r="A748" t="s">
        <v>1303</v>
      </c>
      <c r="B748" s="1">
        <v>45224.195138888892</v>
      </c>
      <c r="C748" t="s">
        <v>1322</v>
      </c>
      <c r="D748">
        <v>81</v>
      </c>
      <c r="E748" t="s">
        <v>795</v>
      </c>
      <c r="F748" s="4" t="s">
        <v>25</v>
      </c>
      <c r="G748" s="4" t="str">
        <f>IFERROR(VLOOKUP(C748,'Registre maintenance'!B:F,2,FALSE),"Non trouvé")</f>
        <v>Bas-Uele</v>
      </c>
      <c r="H748">
        <f>IFERROR(VLOOKUP(C748,'Registre maintenance'!B:F,3,FALSE),"Non trouvé")</f>
        <v>-1.500685</v>
      </c>
      <c r="I748">
        <f>IFERROR(VLOOKUP(C748,'Registre maintenance'!B:F,4,FALSE),"Non trouvé")</f>
        <v>26.563376000000002</v>
      </c>
      <c r="J748" t="str">
        <f>IFERROR(VLOOKUP(C748,'Registre maintenance'!B:F,5,FALSE),"Non trouvé")</f>
        <v>5G</v>
      </c>
      <c r="K748" t="str">
        <f t="shared" si="110"/>
        <v>OK</v>
      </c>
    </row>
    <row r="749" spans="1:11" x14ac:dyDescent="0.3">
      <c r="A749" t="s">
        <v>1323</v>
      </c>
      <c r="B749" s="1">
        <v>45223.293749999997</v>
      </c>
      <c r="C749" t="s">
        <v>1231</v>
      </c>
      <c r="D749">
        <v>42</v>
      </c>
      <c r="E749" t="s">
        <v>797</v>
      </c>
      <c r="F749" s="4" t="s">
        <v>23</v>
      </c>
      <c r="G749" s="4" t="str">
        <f>IFERROR(VLOOKUP(C749,'Registre maintenance'!B:F,2,FALSE),"Non trouvé")</f>
        <v>Haut-Katanga</v>
      </c>
      <c r="H749">
        <f>IFERROR(VLOOKUP(C749,'Registre maintenance'!B:F,3,FALSE),"Non trouvé")</f>
        <v>-4.4958720000000003</v>
      </c>
      <c r="I749">
        <f>IFERROR(VLOOKUP(C749,'Registre maintenance'!B:F,4,FALSE),"Non trouvé")</f>
        <v>18.514112000000001</v>
      </c>
      <c r="J749" t="str">
        <f>IFERROR(VLOOKUP(C749,'Registre maintenance'!B:F,5,FALSE),"Non trouvé")</f>
        <v>4G</v>
      </c>
      <c r="K749" t="str">
        <f t="shared" si="110"/>
        <v>OK</v>
      </c>
    </row>
    <row r="750" spans="1:11" x14ac:dyDescent="0.3">
      <c r="A750" t="s">
        <v>1323</v>
      </c>
      <c r="B750" s="1">
        <v>45207.124305555553</v>
      </c>
      <c r="C750" t="s">
        <v>1324</v>
      </c>
      <c r="D750">
        <v>77</v>
      </c>
      <c r="E750" t="s">
        <v>797</v>
      </c>
      <c r="F750" s="4" t="str">
        <f>F749</f>
        <v>Haut-Katanga</v>
      </c>
      <c r="G750" s="4" t="str">
        <f>IFERROR(VLOOKUP(C750,'Registre maintenance'!B:F,2,FALSE),"Non trouvé")</f>
        <v>Non trouvé</v>
      </c>
      <c r="H750" t="str">
        <f>IFERROR(VLOOKUP(C750,'Registre maintenance'!B:F,3,FALSE),"Non trouvé")</f>
        <v>Non trouvé</v>
      </c>
      <c r="I750" t="str">
        <f>IFERROR(VLOOKUP(C750,'Registre maintenance'!B:F,4,FALSE),"Non trouvé")</f>
        <v>Non trouvé</v>
      </c>
      <c r="J750" t="str">
        <f>IFERROR(VLOOKUP(C750,'Registre maintenance'!B:F,5,FALSE),"Non trouvé")</f>
        <v>Non trouvé</v>
      </c>
      <c r="K750" t="str">
        <f t="shared" si="110"/>
        <v>Mismatch</v>
      </c>
    </row>
    <row r="751" spans="1:11" x14ac:dyDescent="0.3">
      <c r="A751" t="s">
        <v>1323</v>
      </c>
      <c r="B751" s="1">
        <v>45213.145138888889</v>
      </c>
      <c r="C751" t="s">
        <v>1226</v>
      </c>
      <c r="D751">
        <v>105</v>
      </c>
      <c r="E751" t="s">
        <v>795</v>
      </c>
      <c r="F751" s="4" t="s">
        <v>50</v>
      </c>
      <c r="G751" s="4" t="str">
        <f>IFERROR(VLOOKUP(C751,'Registre maintenance'!B:F,2,FALSE),"Non trouvé")</f>
        <v>Kwilu</v>
      </c>
      <c r="H751">
        <f>IFERROR(VLOOKUP(C751,'Registre maintenance'!B:F,3,FALSE),"Non trouvé")</f>
        <v>-10.939712999999999</v>
      </c>
      <c r="I751">
        <f>IFERROR(VLOOKUP(C751,'Registre maintenance'!B:F,4,FALSE),"Non trouvé")</f>
        <v>18.276230999999999</v>
      </c>
      <c r="J751" t="str">
        <f>IFERROR(VLOOKUP(C751,'Registre maintenance'!B:F,5,FALSE),"Non trouvé")</f>
        <v>4G</v>
      </c>
      <c r="K751" t="str">
        <f t="shared" si="110"/>
        <v>OK</v>
      </c>
    </row>
    <row r="752" spans="1:11" x14ac:dyDescent="0.3">
      <c r="A752" t="s">
        <v>1323</v>
      </c>
      <c r="B752" s="1">
        <v>45219.793749999997</v>
      </c>
      <c r="C752" t="s">
        <v>1325</v>
      </c>
      <c r="D752">
        <v>43</v>
      </c>
      <c r="E752" t="s">
        <v>795</v>
      </c>
      <c r="F752" s="4" t="str">
        <f>F751</f>
        <v>Kwilu</v>
      </c>
      <c r="G752" s="4" t="str">
        <f>IFERROR(VLOOKUP(C752,'Registre maintenance'!B:F,2,FALSE),"Non trouvé")</f>
        <v>Non trouvé</v>
      </c>
      <c r="H752" t="str">
        <f>IFERROR(VLOOKUP(C752,'Registre maintenance'!B:F,3,FALSE),"Non trouvé")</f>
        <v>Non trouvé</v>
      </c>
      <c r="I752" t="str">
        <f>IFERROR(VLOOKUP(C752,'Registre maintenance'!B:F,4,FALSE),"Non trouvé")</f>
        <v>Non trouvé</v>
      </c>
      <c r="J752" t="str">
        <f>IFERROR(VLOOKUP(C752,'Registre maintenance'!B:F,5,FALSE),"Non trouvé")</f>
        <v>Non trouvé</v>
      </c>
      <c r="K752" t="str">
        <f t="shared" si="110"/>
        <v>Mismatch</v>
      </c>
    </row>
    <row r="753" spans="1:11" x14ac:dyDescent="0.3">
      <c r="A753" t="s">
        <v>1323</v>
      </c>
      <c r="B753" s="1">
        <v>45209.907638888893</v>
      </c>
      <c r="C753" t="s">
        <v>1326</v>
      </c>
      <c r="D753">
        <v>99</v>
      </c>
      <c r="E753" t="s">
        <v>797</v>
      </c>
      <c r="F753" s="4" t="s">
        <v>28</v>
      </c>
      <c r="G753" s="4" t="str">
        <f>IFERROR(VLOOKUP(C753,'Registre maintenance'!B:F,2,FALSE),"Non trouvé")</f>
        <v>Kasai</v>
      </c>
      <c r="H753">
        <f>IFERROR(VLOOKUP(C753,'Registre maintenance'!B:F,3,FALSE),"Non trouvé")</f>
        <v>-7.6757720000000003</v>
      </c>
      <c r="I753">
        <f>IFERROR(VLOOKUP(C753,'Registre maintenance'!B:F,4,FALSE),"Non trouvé")</f>
        <v>30.222971000000001</v>
      </c>
      <c r="J753" t="str">
        <f>IFERROR(VLOOKUP(C753,'Registre maintenance'!B:F,5,FALSE),"Non trouvé")</f>
        <v>5G</v>
      </c>
      <c r="K753" t="str">
        <f t="shared" si="110"/>
        <v>OK</v>
      </c>
    </row>
    <row r="754" spans="1:11" x14ac:dyDescent="0.3">
      <c r="A754" t="s">
        <v>1323</v>
      </c>
      <c r="B754" s="1">
        <v>45221.96597222222</v>
      </c>
      <c r="C754" t="s">
        <v>1327</v>
      </c>
      <c r="D754">
        <v>84</v>
      </c>
      <c r="E754" t="s">
        <v>797</v>
      </c>
      <c r="F754" s="4" t="str">
        <f t="shared" ref="F754:F758" si="115">F753</f>
        <v>Kasai</v>
      </c>
      <c r="G754" s="4" t="str">
        <f>IFERROR(VLOOKUP(C754,'Registre maintenance'!B:F,2,FALSE),"Non trouvé")</f>
        <v>Non trouvé</v>
      </c>
      <c r="H754" t="str">
        <f>IFERROR(VLOOKUP(C754,'Registre maintenance'!B:F,3,FALSE),"Non trouvé")</f>
        <v>Non trouvé</v>
      </c>
      <c r="I754" t="str">
        <f>IFERROR(VLOOKUP(C754,'Registre maintenance'!B:F,4,FALSE),"Non trouvé")</f>
        <v>Non trouvé</v>
      </c>
      <c r="J754" t="str">
        <f>IFERROR(VLOOKUP(C754,'Registre maintenance'!B:F,5,FALSE),"Non trouvé")</f>
        <v>Non trouvé</v>
      </c>
      <c r="K754" t="str">
        <f t="shared" si="110"/>
        <v>Mismatch</v>
      </c>
    </row>
    <row r="755" spans="1:11" x14ac:dyDescent="0.3">
      <c r="A755" t="s">
        <v>1323</v>
      </c>
      <c r="B755" s="1">
        <v>45203.03125</v>
      </c>
      <c r="C755" t="s">
        <v>801</v>
      </c>
      <c r="D755">
        <v>36</v>
      </c>
      <c r="E755" t="s">
        <v>797</v>
      </c>
      <c r="F755" s="4" t="str">
        <f t="shared" si="115"/>
        <v>Kasai</v>
      </c>
      <c r="G755" s="4" t="str">
        <f>IFERROR(VLOOKUP(C755,'Registre maintenance'!B:F,2,FALSE),"Non trouvé")</f>
        <v>Non trouvé</v>
      </c>
      <c r="H755" t="str">
        <f>IFERROR(VLOOKUP(C755,'Registre maintenance'!B:F,3,FALSE),"Non trouvé")</f>
        <v>Non trouvé</v>
      </c>
      <c r="I755" t="str">
        <f>IFERROR(VLOOKUP(C755,'Registre maintenance'!B:F,4,FALSE),"Non trouvé")</f>
        <v>Non trouvé</v>
      </c>
      <c r="J755" t="str">
        <f>IFERROR(VLOOKUP(C755,'Registre maintenance'!B:F,5,FALSE),"Non trouvé")</f>
        <v>Non trouvé</v>
      </c>
      <c r="K755" t="str">
        <f t="shared" si="110"/>
        <v>Mismatch</v>
      </c>
    </row>
    <row r="756" spans="1:11" x14ac:dyDescent="0.3">
      <c r="A756" t="s">
        <v>1323</v>
      </c>
      <c r="B756" s="1">
        <v>45204.916666666657</v>
      </c>
      <c r="C756" t="s">
        <v>1328</v>
      </c>
      <c r="D756">
        <v>64</v>
      </c>
      <c r="E756" t="s">
        <v>797</v>
      </c>
      <c r="F756" s="4" t="str">
        <f t="shared" si="115"/>
        <v>Kasai</v>
      </c>
      <c r="G756" s="4" t="str">
        <f>IFERROR(VLOOKUP(C756,'Registre maintenance'!B:F,2,FALSE),"Non trouvé")</f>
        <v>Non trouvé</v>
      </c>
      <c r="H756" t="str">
        <f>IFERROR(VLOOKUP(C756,'Registre maintenance'!B:F,3,FALSE),"Non trouvé")</f>
        <v>Non trouvé</v>
      </c>
      <c r="I756" t="str">
        <f>IFERROR(VLOOKUP(C756,'Registre maintenance'!B:F,4,FALSE),"Non trouvé")</f>
        <v>Non trouvé</v>
      </c>
      <c r="J756" t="str">
        <f>IFERROR(VLOOKUP(C756,'Registre maintenance'!B:F,5,FALSE),"Non trouvé")</f>
        <v>Non trouvé</v>
      </c>
      <c r="K756" t="str">
        <f t="shared" si="110"/>
        <v>Mismatch</v>
      </c>
    </row>
    <row r="757" spans="1:11" x14ac:dyDescent="0.3">
      <c r="A757" t="s">
        <v>1323</v>
      </c>
      <c r="B757" s="1">
        <v>45205.640277777777</v>
      </c>
      <c r="C757" t="s">
        <v>940</v>
      </c>
      <c r="D757">
        <v>52</v>
      </c>
      <c r="E757" t="s">
        <v>792</v>
      </c>
      <c r="F757" s="4" t="str">
        <f t="shared" si="115"/>
        <v>Kasai</v>
      </c>
      <c r="G757" s="4" t="str">
        <f>IFERROR(VLOOKUP(C757,'Registre maintenance'!B:F,2,FALSE),"Non trouvé")</f>
        <v>Non trouvé</v>
      </c>
      <c r="H757" t="str">
        <f>IFERROR(VLOOKUP(C757,'Registre maintenance'!B:F,3,FALSE),"Non trouvé")</f>
        <v>Non trouvé</v>
      </c>
      <c r="I757" t="str">
        <f>IFERROR(VLOOKUP(C757,'Registre maintenance'!B:F,4,FALSE),"Non trouvé")</f>
        <v>Non trouvé</v>
      </c>
      <c r="J757" t="str">
        <f>IFERROR(VLOOKUP(C757,'Registre maintenance'!B:F,5,FALSE),"Non trouvé")</f>
        <v>Non trouvé</v>
      </c>
      <c r="K757" t="str">
        <f t="shared" si="110"/>
        <v>Mismatch</v>
      </c>
    </row>
    <row r="758" spans="1:11" x14ac:dyDescent="0.3">
      <c r="A758" t="s">
        <v>1323</v>
      </c>
      <c r="B758" s="1">
        <v>45216.701388888891</v>
      </c>
      <c r="C758" t="s">
        <v>922</v>
      </c>
      <c r="D758">
        <v>80</v>
      </c>
      <c r="E758" t="s">
        <v>792</v>
      </c>
      <c r="F758" s="4" t="str">
        <f t="shared" si="115"/>
        <v>Kasai</v>
      </c>
      <c r="G758" s="4" t="str">
        <f>IFERROR(VLOOKUP(C758,'Registre maintenance'!B:F,2,FALSE),"Non trouvé")</f>
        <v>Non trouvé</v>
      </c>
      <c r="H758" t="str">
        <f>IFERROR(VLOOKUP(C758,'Registre maintenance'!B:F,3,FALSE),"Non trouvé")</f>
        <v>Non trouvé</v>
      </c>
      <c r="I758" t="str">
        <f>IFERROR(VLOOKUP(C758,'Registre maintenance'!B:F,4,FALSE),"Non trouvé")</f>
        <v>Non trouvé</v>
      </c>
      <c r="J758" t="str">
        <f>IFERROR(VLOOKUP(C758,'Registre maintenance'!B:F,5,FALSE),"Non trouvé")</f>
        <v>Non trouvé</v>
      </c>
      <c r="K758" t="str">
        <f t="shared" si="110"/>
        <v>Mismatch</v>
      </c>
    </row>
    <row r="759" spans="1:11" x14ac:dyDescent="0.3">
      <c r="A759" t="s">
        <v>1323</v>
      </c>
      <c r="B759" s="1">
        <v>45226.969444444447</v>
      </c>
      <c r="C759" t="s">
        <v>945</v>
      </c>
      <c r="D759">
        <v>68</v>
      </c>
      <c r="E759" t="s">
        <v>792</v>
      </c>
      <c r="F759" s="4" t="s">
        <v>72</v>
      </c>
      <c r="G759" s="4" t="str">
        <f>IFERROR(VLOOKUP(C759,'Registre maintenance'!B:F,2,FALSE),"Non trouvé")</f>
        <v>Tshopo</v>
      </c>
      <c r="H759">
        <f>IFERROR(VLOOKUP(C759,'Registre maintenance'!B:F,3,FALSE),"Non trouvé")</f>
        <v>3.0603760000000002</v>
      </c>
      <c r="I759">
        <f>IFERROR(VLOOKUP(C759,'Registre maintenance'!B:F,4,FALSE),"Non trouvé")</f>
        <v>19.708034000000001</v>
      </c>
      <c r="J759" t="str">
        <f>IFERROR(VLOOKUP(C759,'Registre maintenance'!B:F,5,FALSE),"Non trouvé")</f>
        <v>3G</v>
      </c>
      <c r="K759" t="str">
        <f t="shared" si="110"/>
        <v>OK</v>
      </c>
    </row>
    <row r="760" spans="1:11" x14ac:dyDescent="0.3">
      <c r="A760" t="s">
        <v>1323</v>
      </c>
      <c r="B760" s="1">
        <v>45205.463888888888</v>
      </c>
      <c r="C760" t="s">
        <v>1329</v>
      </c>
      <c r="D760">
        <v>103</v>
      </c>
      <c r="E760" t="s">
        <v>792</v>
      </c>
      <c r="F760" s="4" t="s">
        <v>129</v>
      </c>
      <c r="G760" s="4" t="str">
        <f>IFERROR(VLOOKUP(C760,'Registre maintenance'!B:F,2,FALSE),"Non trouvé")</f>
        <v>Nord-Kivu</v>
      </c>
      <c r="H760">
        <f>IFERROR(VLOOKUP(C760,'Registre maintenance'!B:F,3,FALSE),"Non trouvé")</f>
        <v>-0.17258100000000001</v>
      </c>
      <c r="I760">
        <f>IFERROR(VLOOKUP(C760,'Registre maintenance'!B:F,4,FALSE),"Non trouvé")</f>
        <v>23.775555000000001</v>
      </c>
      <c r="J760" t="str">
        <f>IFERROR(VLOOKUP(C760,'Registre maintenance'!B:F,5,FALSE),"Non trouvé")</f>
        <v>5G</v>
      </c>
      <c r="K760" t="str">
        <f t="shared" si="110"/>
        <v>OK</v>
      </c>
    </row>
    <row r="761" spans="1:11" x14ac:dyDescent="0.3">
      <c r="A761" t="s">
        <v>1323</v>
      </c>
      <c r="B761" s="1">
        <v>45223.365277777782</v>
      </c>
      <c r="C761" t="s">
        <v>1330</v>
      </c>
      <c r="D761">
        <v>104</v>
      </c>
      <c r="E761" t="s">
        <v>795</v>
      </c>
      <c r="F761" s="4" t="str">
        <f>F760</f>
        <v>Nord-Kivu</v>
      </c>
      <c r="G761" s="4" t="str">
        <f>IFERROR(VLOOKUP(C761,'Registre maintenance'!B:F,2,FALSE),"Non trouvé")</f>
        <v>Non trouvé</v>
      </c>
      <c r="H761" t="str">
        <f>IFERROR(VLOOKUP(C761,'Registre maintenance'!B:F,3,FALSE),"Non trouvé")</f>
        <v>Non trouvé</v>
      </c>
      <c r="I761" t="str">
        <f>IFERROR(VLOOKUP(C761,'Registre maintenance'!B:F,4,FALSE),"Non trouvé")</f>
        <v>Non trouvé</v>
      </c>
      <c r="J761" t="str">
        <f>IFERROR(VLOOKUP(C761,'Registre maintenance'!B:F,5,FALSE),"Non trouvé")</f>
        <v>Non trouvé</v>
      </c>
      <c r="K761" t="str">
        <f t="shared" si="110"/>
        <v>Mismatch</v>
      </c>
    </row>
    <row r="762" spans="1:11" x14ac:dyDescent="0.3">
      <c r="A762" t="s">
        <v>1323</v>
      </c>
      <c r="B762" s="1">
        <v>45228.15902777778</v>
      </c>
      <c r="C762" t="s">
        <v>1197</v>
      </c>
      <c r="D762">
        <v>30</v>
      </c>
      <c r="E762" t="s">
        <v>792</v>
      </c>
      <c r="F762" s="4" t="s">
        <v>50</v>
      </c>
      <c r="G762" s="4" t="str">
        <f>IFERROR(VLOOKUP(C762,'Registre maintenance'!B:F,2,FALSE),"Non trouvé")</f>
        <v>Kwilu</v>
      </c>
      <c r="H762">
        <f>IFERROR(VLOOKUP(C762,'Registre maintenance'!B:F,3,FALSE),"Non trouvé")</f>
        <v>0.62055499999999997</v>
      </c>
      <c r="I762">
        <f>IFERROR(VLOOKUP(C762,'Registre maintenance'!B:F,4,FALSE),"Non trouvé")</f>
        <v>21.222035000000002</v>
      </c>
      <c r="J762" t="str">
        <f>IFERROR(VLOOKUP(C762,'Registre maintenance'!B:F,5,FALSE),"Non trouvé")</f>
        <v>5G</v>
      </c>
      <c r="K762" t="str">
        <f t="shared" si="110"/>
        <v>OK</v>
      </c>
    </row>
    <row r="763" spans="1:11" x14ac:dyDescent="0.3">
      <c r="A763" t="s">
        <v>1323</v>
      </c>
      <c r="B763" s="1">
        <v>45228.01458333333</v>
      </c>
      <c r="C763" t="s">
        <v>900</v>
      </c>
      <c r="D763">
        <v>98</v>
      </c>
      <c r="E763" t="s">
        <v>792</v>
      </c>
      <c r="F763" s="4" t="str">
        <f t="shared" ref="F763:F764" si="116">F762</f>
        <v>Kwilu</v>
      </c>
      <c r="G763" s="4" t="str">
        <f>IFERROR(VLOOKUP(C763,'Registre maintenance'!B:F,2,FALSE),"Non trouvé")</f>
        <v>Non trouvé</v>
      </c>
      <c r="H763" t="str">
        <f>IFERROR(VLOOKUP(C763,'Registre maintenance'!B:F,3,FALSE),"Non trouvé")</f>
        <v>Non trouvé</v>
      </c>
      <c r="I763" t="str">
        <f>IFERROR(VLOOKUP(C763,'Registre maintenance'!B:F,4,FALSE),"Non trouvé")</f>
        <v>Non trouvé</v>
      </c>
      <c r="J763" t="str">
        <f>IFERROR(VLOOKUP(C763,'Registre maintenance'!B:F,5,FALSE),"Non trouvé")</f>
        <v>Non trouvé</v>
      </c>
      <c r="K763" t="str">
        <f t="shared" si="110"/>
        <v>Mismatch</v>
      </c>
    </row>
    <row r="764" spans="1:11" x14ac:dyDescent="0.3">
      <c r="A764" t="s">
        <v>1323</v>
      </c>
      <c r="B764" s="1">
        <v>45225.553472222222</v>
      </c>
      <c r="C764" t="s">
        <v>1331</v>
      </c>
      <c r="D764">
        <v>120</v>
      </c>
      <c r="E764" t="s">
        <v>792</v>
      </c>
      <c r="F764" s="4" t="str">
        <f t="shared" si="116"/>
        <v>Kwilu</v>
      </c>
      <c r="G764" s="4" t="str">
        <f>IFERROR(VLOOKUP(C764,'Registre maintenance'!B:F,2,FALSE),"Non trouvé")</f>
        <v>Non trouvé</v>
      </c>
      <c r="H764" t="str">
        <f>IFERROR(VLOOKUP(C764,'Registre maintenance'!B:F,3,FALSE),"Non trouvé")</f>
        <v>Non trouvé</v>
      </c>
      <c r="I764" t="str">
        <f>IFERROR(VLOOKUP(C764,'Registre maintenance'!B:F,4,FALSE),"Non trouvé")</f>
        <v>Non trouvé</v>
      </c>
      <c r="J764" t="str">
        <f>IFERROR(VLOOKUP(C764,'Registre maintenance'!B:F,5,FALSE),"Non trouvé")</f>
        <v>Non trouvé</v>
      </c>
      <c r="K764" t="str">
        <f t="shared" si="110"/>
        <v>Mismatch</v>
      </c>
    </row>
    <row r="765" spans="1:11" x14ac:dyDescent="0.3">
      <c r="A765" t="s">
        <v>1323</v>
      </c>
      <c r="B765" s="1">
        <v>45216.094444444447</v>
      </c>
      <c r="C765" t="s">
        <v>1332</v>
      </c>
      <c r="D765">
        <v>74</v>
      </c>
      <c r="E765" t="s">
        <v>792</v>
      </c>
      <c r="F765" s="4" t="s">
        <v>66</v>
      </c>
      <c r="G765" s="4" t="str">
        <f>IFERROR(VLOOKUP(C765,'Registre maintenance'!B:F,2,FALSE),"Non trouvé")</f>
        <v>Lomami</v>
      </c>
      <c r="H765">
        <f>IFERROR(VLOOKUP(C765,'Registre maintenance'!B:F,3,FALSE),"Non trouvé")</f>
        <v>4.8265669999999998</v>
      </c>
      <c r="I765">
        <f>IFERROR(VLOOKUP(C765,'Registre maintenance'!B:F,4,FALSE),"Non trouvé")</f>
        <v>28.535277000000001</v>
      </c>
      <c r="J765" t="str">
        <f>IFERROR(VLOOKUP(C765,'Registre maintenance'!B:F,5,FALSE),"Non trouvé")</f>
        <v>3G</v>
      </c>
      <c r="K765" t="str">
        <f t="shared" si="110"/>
        <v>OK</v>
      </c>
    </row>
    <row r="766" spans="1:11" x14ac:dyDescent="0.3">
      <c r="A766" t="s">
        <v>1323</v>
      </c>
      <c r="B766" s="1">
        <v>45222.777777777781</v>
      </c>
      <c r="C766" t="s">
        <v>1333</v>
      </c>
      <c r="D766">
        <v>102</v>
      </c>
      <c r="E766" t="s">
        <v>797</v>
      </c>
      <c r="F766" s="4" t="str">
        <f t="shared" ref="F766:F767" si="117">F765</f>
        <v>Lomami</v>
      </c>
      <c r="G766" s="4" t="str">
        <f>IFERROR(VLOOKUP(C766,'Registre maintenance'!B:F,2,FALSE),"Non trouvé")</f>
        <v>Non trouvé</v>
      </c>
      <c r="H766" t="str">
        <f>IFERROR(VLOOKUP(C766,'Registre maintenance'!B:F,3,FALSE),"Non trouvé")</f>
        <v>Non trouvé</v>
      </c>
      <c r="I766" t="str">
        <f>IFERROR(VLOOKUP(C766,'Registre maintenance'!B:F,4,FALSE),"Non trouvé")</f>
        <v>Non trouvé</v>
      </c>
      <c r="J766" t="str">
        <f>IFERROR(VLOOKUP(C766,'Registre maintenance'!B:F,5,FALSE),"Non trouvé")</f>
        <v>Non trouvé</v>
      </c>
      <c r="K766" t="str">
        <f t="shared" si="110"/>
        <v>Mismatch</v>
      </c>
    </row>
    <row r="767" spans="1:11" x14ac:dyDescent="0.3">
      <c r="A767" t="s">
        <v>1323</v>
      </c>
      <c r="B767" s="1">
        <v>45202.645138888889</v>
      </c>
      <c r="C767" t="s">
        <v>1334</v>
      </c>
      <c r="D767">
        <v>106</v>
      </c>
      <c r="E767" t="s">
        <v>797</v>
      </c>
      <c r="F767" s="4" t="str">
        <f t="shared" si="117"/>
        <v>Lomami</v>
      </c>
      <c r="G767" s="4" t="str">
        <f>IFERROR(VLOOKUP(C767,'Registre maintenance'!B:F,2,FALSE),"Non trouvé")</f>
        <v>Non trouvé</v>
      </c>
      <c r="H767" t="str">
        <f>IFERROR(VLOOKUP(C767,'Registre maintenance'!B:F,3,FALSE),"Non trouvé")</f>
        <v>Non trouvé</v>
      </c>
      <c r="I767" t="str">
        <f>IFERROR(VLOOKUP(C767,'Registre maintenance'!B:F,4,FALSE),"Non trouvé")</f>
        <v>Non trouvé</v>
      </c>
      <c r="J767" t="str">
        <f>IFERROR(VLOOKUP(C767,'Registre maintenance'!B:F,5,FALSE),"Non trouvé")</f>
        <v>Non trouvé</v>
      </c>
      <c r="K767" t="str">
        <f t="shared" si="110"/>
        <v>Mismatch</v>
      </c>
    </row>
    <row r="768" spans="1:11" x14ac:dyDescent="0.3">
      <c r="A768" t="s">
        <v>1323</v>
      </c>
      <c r="B768" s="1">
        <v>45216.460416666669</v>
      </c>
      <c r="C768" t="s">
        <v>1335</v>
      </c>
      <c r="D768">
        <v>36</v>
      </c>
      <c r="E768" t="s">
        <v>797</v>
      </c>
      <c r="F768" s="4" t="s">
        <v>129</v>
      </c>
      <c r="G768" s="4" t="str">
        <f>IFERROR(VLOOKUP(C768,'Registre maintenance'!B:F,2,FALSE),"Non trouvé")</f>
        <v>Nord-Kivu</v>
      </c>
      <c r="H768">
        <f>IFERROR(VLOOKUP(C768,'Registre maintenance'!B:F,3,FALSE),"Non trouvé")</f>
        <v>-11.231472</v>
      </c>
      <c r="I768">
        <f>IFERROR(VLOOKUP(C768,'Registre maintenance'!B:F,4,FALSE),"Non trouvé")</f>
        <v>25.388874000000001</v>
      </c>
      <c r="J768" t="str">
        <f>IFERROR(VLOOKUP(C768,'Registre maintenance'!B:F,5,FALSE),"Non trouvé")</f>
        <v>4G</v>
      </c>
      <c r="K768" t="str">
        <f t="shared" si="110"/>
        <v>OK</v>
      </c>
    </row>
    <row r="769" spans="1:11" x14ac:dyDescent="0.3">
      <c r="A769" t="s">
        <v>1323</v>
      </c>
      <c r="B769" s="1">
        <v>45215.756944444453</v>
      </c>
      <c r="C769" t="s">
        <v>1336</v>
      </c>
      <c r="D769">
        <v>24</v>
      </c>
      <c r="E769" t="s">
        <v>797</v>
      </c>
      <c r="F769" s="4" t="str">
        <f t="shared" ref="F769:F777" si="118">F768</f>
        <v>Nord-Kivu</v>
      </c>
      <c r="G769" s="4" t="str">
        <f>IFERROR(VLOOKUP(C769,'Registre maintenance'!B:F,2,FALSE),"Non trouvé")</f>
        <v>Non trouvé</v>
      </c>
      <c r="H769" t="str">
        <f>IFERROR(VLOOKUP(C769,'Registre maintenance'!B:F,3,FALSE),"Non trouvé")</f>
        <v>Non trouvé</v>
      </c>
      <c r="I769" t="str">
        <f>IFERROR(VLOOKUP(C769,'Registre maintenance'!B:F,4,FALSE),"Non trouvé")</f>
        <v>Non trouvé</v>
      </c>
      <c r="J769" t="str">
        <f>IFERROR(VLOOKUP(C769,'Registre maintenance'!B:F,5,FALSE),"Non trouvé")</f>
        <v>Non trouvé</v>
      </c>
      <c r="K769" t="str">
        <f t="shared" si="110"/>
        <v>Mismatch</v>
      </c>
    </row>
    <row r="770" spans="1:11" x14ac:dyDescent="0.3">
      <c r="A770" t="s">
        <v>1323</v>
      </c>
      <c r="B770" s="1">
        <v>45211.219444444447</v>
      </c>
      <c r="C770" t="s">
        <v>1337</v>
      </c>
      <c r="D770">
        <v>5</v>
      </c>
      <c r="E770" t="s">
        <v>792</v>
      </c>
      <c r="F770" s="4" t="str">
        <f t="shared" si="118"/>
        <v>Nord-Kivu</v>
      </c>
      <c r="G770" s="4" t="str">
        <f>IFERROR(VLOOKUP(C770,'Registre maintenance'!B:F,2,FALSE),"Non trouvé")</f>
        <v>Non trouvé</v>
      </c>
      <c r="H770" t="str">
        <f>IFERROR(VLOOKUP(C770,'Registre maintenance'!B:F,3,FALSE),"Non trouvé")</f>
        <v>Non trouvé</v>
      </c>
      <c r="I770" t="str">
        <f>IFERROR(VLOOKUP(C770,'Registre maintenance'!B:F,4,FALSE),"Non trouvé")</f>
        <v>Non trouvé</v>
      </c>
      <c r="J770" t="str">
        <f>IFERROR(VLOOKUP(C770,'Registre maintenance'!B:F,5,FALSE),"Non trouvé")</f>
        <v>Non trouvé</v>
      </c>
      <c r="K770" t="str">
        <f t="shared" ref="K770:K833" si="119">IF(F770=G770,"OK","Mismatch")</f>
        <v>Mismatch</v>
      </c>
    </row>
    <row r="771" spans="1:11" x14ac:dyDescent="0.3">
      <c r="A771" t="s">
        <v>1323</v>
      </c>
      <c r="B771" s="1">
        <v>45224.164583333331</v>
      </c>
      <c r="C771" t="s">
        <v>1338</v>
      </c>
      <c r="D771">
        <v>57</v>
      </c>
      <c r="E771" t="s">
        <v>795</v>
      </c>
      <c r="F771" s="4" t="str">
        <f t="shared" si="118"/>
        <v>Nord-Kivu</v>
      </c>
      <c r="G771" s="4" t="str">
        <f>IFERROR(VLOOKUP(C771,'Registre maintenance'!B:F,2,FALSE),"Non trouvé")</f>
        <v>Non trouvé</v>
      </c>
      <c r="H771" t="str">
        <f>IFERROR(VLOOKUP(C771,'Registre maintenance'!B:F,3,FALSE),"Non trouvé")</f>
        <v>Non trouvé</v>
      </c>
      <c r="I771" t="str">
        <f>IFERROR(VLOOKUP(C771,'Registre maintenance'!B:F,4,FALSE),"Non trouvé")</f>
        <v>Non trouvé</v>
      </c>
      <c r="J771" t="str">
        <f>IFERROR(VLOOKUP(C771,'Registre maintenance'!B:F,5,FALSE),"Non trouvé")</f>
        <v>Non trouvé</v>
      </c>
      <c r="K771" t="str">
        <f t="shared" si="119"/>
        <v>Mismatch</v>
      </c>
    </row>
    <row r="772" spans="1:11" x14ac:dyDescent="0.3">
      <c r="A772" t="s">
        <v>1323</v>
      </c>
      <c r="B772" s="1">
        <v>45218.906944444447</v>
      </c>
      <c r="C772" t="s">
        <v>1020</v>
      </c>
      <c r="D772">
        <v>8</v>
      </c>
      <c r="E772" t="s">
        <v>797</v>
      </c>
      <c r="F772" s="4" t="str">
        <f t="shared" si="118"/>
        <v>Nord-Kivu</v>
      </c>
      <c r="G772" s="4" t="str">
        <f>IFERROR(VLOOKUP(C772,'Registre maintenance'!B:F,2,FALSE),"Non trouvé")</f>
        <v>Non trouvé</v>
      </c>
      <c r="H772" t="str">
        <f>IFERROR(VLOOKUP(C772,'Registre maintenance'!B:F,3,FALSE),"Non trouvé")</f>
        <v>Non trouvé</v>
      </c>
      <c r="I772" t="str">
        <f>IFERROR(VLOOKUP(C772,'Registre maintenance'!B:F,4,FALSE),"Non trouvé")</f>
        <v>Non trouvé</v>
      </c>
      <c r="J772" t="str">
        <f>IFERROR(VLOOKUP(C772,'Registre maintenance'!B:F,5,FALSE),"Non trouvé")</f>
        <v>Non trouvé</v>
      </c>
      <c r="K772" t="str">
        <f t="shared" si="119"/>
        <v>Mismatch</v>
      </c>
    </row>
    <row r="773" spans="1:11" x14ac:dyDescent="0.3">
      <c r="A773" t="s">
        <v>1323</v>
      </c>
      <c r="B773" s="1">
        <v>45203.324305555558</v>
      </c>
      <c r="C773" t="s">
        <v>1339</v>
      </c>
      <c r="D773">
        <v>34</v>
      </c>
      <c r="E773" t="s">
        <v>792</v>
      </c>
      <c r="F773" s="4" t="str">
        <f t="shared" si="118"/>
        <v>Nord-Kivu</v>
      </c>
      <c r="G773" s="4" t="str">
        <f>IFERROR(VLOOKUP(C773,'Registre maintenance'!B:F,2,FALSE),"Non trouvé")</f>
        <v>Non trouvé</v>
      </c>
      <c r="H773" t="str">
        <f>IFERROR(VLOOKUP(C773,'Registre maintenance'!B:F,3,FALSE),"Non trouvé")</f>
        <v>Non trouvé</v>
      </c>
      <c r="I773" t="str">
        <f>IFERROR(VLOOKUP(C773,'Registre maintenance'!B:F,4,FALSE),"Non trouvé")</f>
        <v>Non trouvé</v>
      </c>
      <c r="J773" t="str">
        <f>IFERROR(VLOOKUP(C773,'Registre maintenance'!B:F,5,FALSE),"Non trouvé")</f>
        <v>Non trouvé</v>
      </c>
      <c r="K773" t="str">
        <f t="shared" si="119"/>
        <v>Mismatch</v>
      </c>
    </row>
    <row r="774" spans="1:11" x14ac:dyDescent="0.3">
      <c r="A774" t="s">
        <v>1323</v>
      </c>
      <c r="B774" s="1">
        <v>45216.001388888893</v>
      </c>
      <c r="C774" t="s">
        <v>1340</v>
      </c>
      <c r="D774">
        <v>74</v>
      </c>
      <c r="E774" t="s">
        <v>797</v>
      </c>
      <c r="F774" s="4" t="str">
        <f t="shared" si="118"/>
        <v>Nord-Kivu</v>
      </c>
      <c r="G774" s="4" t="str">
        <f>IFERROR(VLOOKUP(C774,'Registre maintenance'!B:F,2,FALSE),"Non trouvé")</f>
        <v>Non trouvé</v>
      </c>
      <c r="H774" t="str">
        <f>IFERROR(VLOOKUP(C774,'Registre maintenance'!B:F,3,FALSE),"Non trouvé")</f>
        <v>Non trouvé</v>
      </c>
      <c r="I774" t="str">
        <f>IFERROR(VLOOKUP(C774,'Registre maintenance'!B:F,4,FALSE),"Non trouvé")</f>
        <v>Non trouvé</v>
      </c>
      <c r="J774" t="str">
        <f>IFERROR(VLOOKUP(C774,'Registre maintenance'!B:F,5,FALSE),"Non trouvé")</f>
        <v>Non trouvé</v>
      </c>
      <c r="K774" t="str">
        <f t="shared" si="119"/>
        <v>Mismatch</v>
      </c>
    </row>
    <row r="775" spans="1:11" x14ac:dyDescent="0.3">
      <c r="A775" t="s">
        <v>1323</v>
      </c>
      <c r="B775" s="1">
        <v>45227.010416666657</v>
      </c>
      <c r="C775" t="s">
        <v>1341</v>
      </c>
      <c r="D775">
        <v>49</v>
      </c>
      <c r="E775" t="s">
        <v>797</v>
      </c>
      <c r="F775" s="4" t="str">
        <f t="shared" si="118"/>
        <v>Nord-Kivu</v>
      </c>
      <c r="G775" s="4" t="str">
        <f>IFERROR(VLOOKUP(C775,'Registre maintenance'!B:F,2,FALSE),"Non trouvé")</f>
        <v>Non trouvé</v>
      </c>
      <c r="H775" t="str">
        <f>IFERROR(VLOOKUP(C775,'Registre maintenance'!B:F,3,FALSE),"Non trouvé")</f>
        <v>Non trouvé</v>
      </c>
      <c r="I775" t="str">
        <f>IFERROR(VLOOKUP(C775,'Registre maintenance'!B:F,4,FALSE),"Non trouvé")</f>
        <v>Non trouvé</v>
      </c>
      <c r="J775" t="str">
        <f>IFERROR(VLOOKUP(C775,'Registre maintenance'!B:F,5,FALSE),"Non trouvé")</f>
        <v>Non trouvé</v>
      </c>
      <c r="K775" t="str">
        <f t="shared" si="119"/>
        <v>Mismatch</v>
      </c>
    </row>
    <row r="776" spans="1:11" x14ac:dyDescent="0.3">
      <c r="A776" t="s">
        <v>1323</v>
      </c>
      <c r="B776" s="1">
        <v>45201.640972222223</v>
      </c>
      <c r="C776" t="s">
        <v>843</v>
      </c>
      <c r="D776">
        <v>86</v>
      </c>
      <c r="E776" t="s">
        <v>797</v>
      </c>
      <c r="F776" s="4" t="str">
        <f t="shared" si="118"/>
        <v>Nord-Kivu</v>
      </c>
      <c r="G776" s="4" t="str">
        <f>IFERROR(VLOOKUP(C776,'Registre maintenance'!B:F,2,FALSE),"Non trouvé")</f>
        <v>Non trouvé</v>
      </c>
      <c r="H776" t="str">
        <f>IFERROR(VLOOKUP(C776,'Registre maintenance'!B:F,3,FALSE),"Non trouvé")</f>
        <v>Non trouvé</v>
      </c>
      <c r="I776" t="str">
        <f>IFERROR(VLOOKUP(C776,'Registre maintenance'!B:F,4,FALSE),"Non trouvé")</f>
        <v>Non trouvé</v>
      </c>
      <c r="J776" t="str">
        <f>IFERROR(VLOOKUP(C776,'Registre maintenance'!B:F,5,FALSE),"Non trouvé")</f>
        <v>Non trouvé</v>
      </c>
      <c r="K776" t="str">
        <f t="shared" si="119"/>
        <v>Mismatch</v>
      </c>
    </row>
    <row r="777" spans="1:11" x14ac:dyDescent="0.3">
      <c r="A777" t="s">
        <v>1323</v>
      </c>
      <c r="B777" s="1">
        <v>45212.174305555563</v>
      </c>
      <c r="C777" t="s">
        <v>1342</v>
      </c>
      <c r="D777">
        <v>112</v>
      </c>
      <c r="E777" t="s">
        <v>797</v>
      </c>
      <c r="F777" s="4" t="str">
        <f t="shared" si="118"/>
        <v>Nord-Kivu</v>
      </c>
      <c r="G777" s="4" t="str">
        <f>IFERROR(VLOOKUP(C777,'Registre maintenance'!B:F,2,FALSE),"Non trouvé")</f>
        <v>Non trouvé</v>
      </c>
      <c r="H777" t="str">
        <f>IFERROR(VLOOKUP(C777,'Registre maintenance'!B:F,3,FALSE),"Non trouvé")</f>
        <v>Non trouvé</v>
      </c>
      <c r="I777" t="str">
        <f>IFERROR(VLOOKUP(C777,'Registre maintenance'!B:F,4,FALSE),"Non trouvé")</f>
        <v>Non trouvé</v>
      </c>
      <c r="J777" t="str">
        <f>IFERROR(VLOOKUP(C777,'Registre maintenance'!B:F,5,FALSE),"Non trouvé")</f>
        <v>Non trouvé</v>
      </c>
      <c r="K777" t="str">
        <f t="shared" si="119"/>
        <v>Mismatch</v>
      </c>
    </row>
    <row r="778" spans="1:11" x14ac:dyDescent="0.3">
      <c r="A778" t="s">
        <v>1323</v>
      </c>
      <c r="B778" s="1">
        <v>45229.065972222219</v>
      </c>
      <c r="C778" t="s">
        <v>857</v>
      </c>
      <c r="D778">
        <v>93</v>
      </c>
      <c r="E778" t="s">
        <v>792</v>
      </c>
      <c r="F778" s="4" t="s">
        <v>129</v>
      </c>
      <c r="G778" s="4" t="str">
        <f>IFERROR(VLOOKUP(C778,'Registre maintenance'!B:F,2,FALSE),"Non trouvé")</f>
        <v>Nord-Kivu</v>
      </c>
      <c r="H778">
        <f>IFERROR(VLOOKUP(C778,'Registre maintenance'!B:F,3,FALSE),"Non trouvé")</f>
        <v>0.82868600000000003</v>
      </c>
      <c r="I778">
        <f>IFERROR(VLOOKUP(C778,'Registre maintenance'!B:F,4,FALSE),"Non trouvé")</f>
        <v>26.958843999999999</v>
      </c>
      <c r="J778" t="str">
        <f>IFERROR(VLOOKUP(C778,'Registre maintenance'!B:F,5,FALSE),"Non trouvé")</f>
        <v>5G</v>
      </c>
      <c r="K778" t="str">
        <f t="shared" si="119"/>
        <v>OK</v>
      </c>
    </row>
    <row r="779" spans="1:11" x14ac:dyDescent="0.3">
      <c r="A779" t="s">
        <v>1323</v>
      </c>
      <c r="B779" s="1">
        <v>45225.949305555558</v>
      </c>
      <c r="C779" t="s">
        <v>1343</v>
      </c>
      <c r="D779">
        <v>117</v>
      </c>
      <c r="E779" t="s">
        <v>792</v>
      </c>
      <c r="F779" s="4" t="str">
        <f t="shared" ref="F779:F781" si="120">F778</f>
        <v>Nord-Kivu</v>
      </c>
      <c r="G779" s="4" t="str">
        <f>IFERROR(VLOOKUP(C779,'Registre maintenance'!B:F,2,FALSE),"Non trouvé")</f>
        <v>Non trouvé</v>
      </c>
      <c r="H779" t="str">
        <f>IFERROR(VLOOKUP(C779,'Registre maintenance'!B:F,3,FALSE),"Non trouvé")</f>
        <v>Non trouvé</v>
      </c>
      <c r="I779" t="str">
        <f>IFERROR(VLOOKUP(C779,'Registre maintenance'!B:F,4,FALSE),"Non trouvé")</f>
        <v>Non trouvé</v>
      </c>
      <c r="J779" t="str">
        <f>IFERROR(VLOOKUP(C779,'Registre maintenance'!B:F,5,FALSE),"Non trouvé")</f>
        <v>Non trouvé</v>
      </c>
      <c r="K779" t="str">
        <f t="shared" si="119"/>
        <v>Mismatch</v>
      </c>
    </row>
    <row r="780" spans="1:11" x14ac:dyDescent="0.3">
      <c r="A780" t="s">
        <v>1323</v>
      </c>
      <c r="B780" s="1">
        <v>45220.551388888889</v>
      </c>
      <c r="C780" t="s">
        <v>1344</v>
      </c>
      <c r="D780">
        <v>6</v>
      </c>
      <c r="E780" t="s">
        <v>792</v>
      </c>
      <c r="F780" s="4" t="str">
        <f t="shared" si="120"/>
        <v>Nord-Kivu</v>
      </c>
      <c r="G780" s="4" t="str">
        <f>IFERROR(VLOOKUP(C780,'Registre maintenance'!B:F,2,FALSE),"Non trouvé")</f>
        <v>Non trouvé</v>
      </c>
      <c r="H780" t="str">
        <f>IFERROR(VLOOKUP(C780,'Registre maintenance'!B:F,3,FALSE),"Non trouvé")</f>
        <v>Non trouvé</v>
      </c>
      <c r="I780" t="str">
        <f>IFERROR(VLOOKUP(C780,'Registre maintenance'!B:F,4,FALSE),"Non trouvé")</f>
        <v>Non trouvé</v>
      </c>
      <c r="J780" t="str">
        <f>IFERROR(VLOOKUP(C780,'Registre maintenance'!B:F,5,FALSE),"Non trouvé")</f>
        <v>Non trouvé</v>
      </c>
      <c r="K780" t="str">
        <f t="shared" si="119"/>
        <v>Mismatch</v>
      </c>
    </row>
    <row r="781" spans="1:11" x14ac:dyDescent="0.3">
      <c r="A781" t="s">
        <v>1323</v>
      </c>
      <c r="B781" s="1">
        <v>45210.30972222222</v>
      </c>
      <c r="C781" t="s">
        <v>1130</v>
      </c>
      <c r="D781">
        <v>47</v>
      </c>
      <c r="E781" t="s">
        <v>795</v>
      </c>
      <c r="F781" s="4" t="str">
        <f t="shared" si="120"/>
        <v>Nord-Kivu</v>
      </c>
      <c r="G781" s="4" t="str">
        <f>IFERROR(VLOOKUP(C781,'Registre maintenance'!B:F,2,FALSE),"Non trouvé")</f>
        <v>Non trouvé</v>
      </c>
      <c r="H781" t="str">
        <f>IFERROR(VLOOKUP(C781,'Registre maintenance'!B:F,3,FALSE),"Non trouvé")</f>
        <v>Non trouvé</v>
      </c>
      <c r="I781" t="str">
        <f>IFERROR(VLOOKUP(C781,'Registre maintenance'!B:F,4,FALSE),"Non trouvé")</f>
        <v>Non trouvé</v>
      </c>
      <c r="J781" t="str">
        <f>IFERROR(VLOOKUP(C781,'Registre maintenance'!B:F,5,FALSE),"Non trouvé")</f>
        <v>Non trouvé</v>
      </c>
      <c r="K781" t="str">
        <f t="shared" si="119"/>
        <v>Mismatch</v>
      </c>
    </row>
    <row r="782" spans="1:11" x14ac:dyDescent="0.3">
      <c r="A782" t="s">
        <v>1323</v>
      </c>
      <c r="B782" s="1">
        <v>45229.972222222219</v>
      </c>
      <c r="C782" t="s">
        <v>1263</v>
      </c>
      <c r="D782">
        <v>5</v>
      </c>
      <c r="E782" t="s">
        <v>797</v>
      </c>
      <c r="F782" s="4" t="s">
        <v>87</v>
      </c>
      <c r="G782" s="4" t="str">
        <f>IFERROR(VLOOKUP(C782,'Registre maintenance'!B:F,2,FALSE),"Non trouvé")</f>
        <v>Nord-Ubangi</v>
      </c>
      <c r="H782">
        <f>IFERROR(VLOOKUP(C782,'Registre maintenance'!B:F,3,FALSE),"Non trouvé")</f>
        <v>-8.4985189999999999</v>
      </c>
      <c r="I782">
        <f>IFERROR(VLOOKUP(C782,'Registre maintenance'!B:F,4,FALSE),"Non trouvé")</f>
        <v>12.929456999999999</v>
      </c>
      <c r="J782" t="str">
        <f>IFERROR(VLOOKUP(C782,'Registre maintenance'!B:F,5,FALSE),"Non trouvé")</f>
        <v>4G</v>
      </c>
      <c r="K782" t="str">
        <f t="shared" si="119"/>
        <v>OK</v>
      </c>
    </row>
    <row r="783" spans="1:11" x14ac:dyDescent="0.3">
      <c r="A783" t="s">
        <v>1323</v>
      </c>
      <c r="B783" s="1">
        <v>45208.10833333333</v>
      </c>
      <c r="C783" t="s">
        <v>1345</v>
      </c>
      <c r="D783">
        <v>102</v>
      </c>
      <c r="E783" t="s">
        <v>795</v>
      </c>
      <c r="F783" s="4" t="str">
        <f t="shared" ref="F783:F784" si="121">F782</f>
        <v>Nord-Ubangi</v>
      </c>
      <c r="G783" s="4" t="str">
        <f>IFERROR(VLOOKUP(C783,'Registre maintenance'!B:F,2,FALSE),"Non trouvé")</f>
        <v>Non trouvé</v>
      </c>
      <c r="H783" t="str">
        <f>IFERROR(VLOOKUP(C783,'Registre maintenance'!B:F,3,FALSE),"Non trouvé")</f>
        <v>Non trouvé</v>
      </c>
      <c r="I783" t="str">
        <f>IFERROR(VLOOKUP(C783,'Registre maintenance'!B:F,4,FALSE),"Non trouvé")</f>
        <v>Non trouvé</v>
      </c>
      <c r="J783" t="str">
        <f>IFERROR(VLOOKUP(C783,'Registre maintenance'!B:F,5,FALSE),"Non trouvé")</f>
        <v>Non trouvé</v>
      </c>
      <c r="K783" t="str">
        <f t="shared" si="119"/>
        <v>Mismatch</v>
      </c>
    </row>
    <row r="784" spans="1:11" x14ac:dyDescent="0.3">
      <c r="A784" t="s">
        <v>1323</v>
      </c>
      <c r="B784" s="1">
        <v>45211.147222222222</v>
      </c>
      <c r="C784" t="s">
        <v>1346</v>
      </c>
      <c r="D784">
        <v>89</v>
      </c>
      <c r="E784" t="s">
        <v>795</v>
      </c>
      <c r="F784" s="4" t="str">
        <f t="shared" si="121"/>
        <v>Nord-Ubangi</v>
      </c>
      <c r="G784" s="4" t="str">
        <f>IFERROR(VLOOKUP(C784,'Registre maintenance'!B:F,2,FALSE),"Non trouvé")</f>
        <v>Non trouvé</v>
      </c>
      <c r="H784" t="str">
        <f>IFERROR(VLOOKUP(C784,'Registre maintenance'!B:F,3,FALSE),"Non trouvé")</f>
        <v>Non trouvé</v>
      </c>
      <c r="I784" t="str">
        <f>IFERROR(VLOOKUP(C784,'Registre maintenance'!B:F,4,FALSE),"Non trouvé")</f>
        <v>Non trouvé</v>
      </c>
      <c r="J784" t="str">
        <f>IFERROR(VLOOKUP(C784,'Registre maintenance'!B:F,5,FALSE),"Non trouvé")</f>
        <v>Non trouvé</v>
      </c>
      <c r="K784" t="str">
        <f t="shared" si="119"/>
        <v>Mismatch</v>
      </c>
    </row>
    <row r="785" spans="1:11" x14ac:dyDescent="0.3">
      <c r="A785" t="s">
        <v>1323</v>
      </c>
      <c r="B785" s="1">
        <v>45221.049305555563</v>
      </c>
      <c r="C785" t="s">
        <v>1127</v>
      </c>
      <c r="D785">
        <v>53</v>
      </c>
      <c r="E785" t="s">
        <v>795</v>
      </c>
      <c r="F785" s="4" t="s">
        <v>135</v>
      </c>
      <c r="G785" s="4" t="str">
        <f>IFERROR(VLOOKUP(C785,'Registre maintenance'!B:F,2,FALSE),"Non trouvé")</f>
        <v>Lualaba</v>
      </c>
      <c r="H785">
        <f>IFERROR(VLOOKUP(C785,'Registre maintenance'!B:F,3,FALSE),"Non trouvé")</f>
        <v>1.286548</v>
      </c>
      <c r="I785">
        <f>IFERROR(VLOOKUP(C785,'Registre maintenance'!B:F,4,FALSE),"Non trouvé")</f>
        <v>29.823702999999998</v>
      </c>
      <c r="J785" t="str">
        <f>IFERROR(VLOOKUP(C785,'Registre maintenance'!B:F,5,FALSE),"Non trouvé")</f>
        <v>4G</v>
      </c>
      <c r="K785" t="str">
        <f t="shared" si="119"/>
        <v>OK</v>
      </c>
    </row>
    <row r="786" spans="1:11" x14ac:dyDescent="0.3">
      <c r="A786" t="s">
        <v>1323</v>
      </c>
      <c r="B786" s="1">
        <v>45207.668055555558</v>
      </c>
      <c r="C786" t="s">
        <v>1347</v>
      </c>
      <c r="D786">
        <v>113</v>
      </c>
      <c r="E786" t="s">
        <v>792</v>
      </c>
      <c r="F786" s="4" t="s">
        <v>61</v>
      </c>
      <c r="G786" s="4" t="str">
        <f>IFERROR(VLOOKUP(C786,'Registre maintenance'!B:F,2,FALSE),"Non trouvé")</f>
        <v>Kongo-Central</v>
      </c>
      <c r="H786">
        <f>IFERROR(VLOOKUP(C786,'Registre maintenance'!B:F,3,FALSE),"Non trouvé")</f>
        <v>-7.1587569999999996</v>
      </c>
      <c r="I786">
        <f>IFERROR(VLOOKUP(C786,'Registre maintenance'!B:F,4,FALSE),"Non trouvé")</f>
        <v>18.975141000000001</v>
      </c>
      <c r="J786" t="str">
        <f>IFERROR(VLOOKUP(C786,'Registre maintenance'!B:F,5,FALSE),"Non trouvé")</f>
        <v>5G</v>
      </c>
      <c r="K786" t="str">
        <f t="shared" si="119"/>
        <v>OK</v>
      </c>
    </row>
    <row r="787" spans="1:11" x14ac:dyDescent="0.3">
      <c r="A787" t="s">
        <v>1323</v>
      </c>
      <c r="B787" s="1">
        <v>45230.50277777778</v>
      </c>
      <c r="C787" t="s">
        <v>1186</v>
      </c>
      <c r="D787">
        <v>99</v>
      </c>
      <c r="E787" t="s">
        <v>792</v>
      </c>
      <c r="F787" s="4" t="str">
        <f>F786</f>
        <v>Kongo-Central</v>
      </c>
      <c r="G787" s="4" t="str">
        <f>IFERROR(VLOOKUP(C787,'Registre maintenance'!B:F,2,FALSE),"Non trouvé")</f>
        <v>Non trouvé</v>
      </c>
      <c r="H787" t="str">
        <f>IFERROR(VLOOKUP(C787,'Registre maintenance'!B:F,3,FALSE),"Non trouvé")</f>
        <v>Non trouvé</v>
      </c>
      <c r="I787" t="str">
        <f>IFERROR(VLOOKUP(C787,'Registre maintenance'!B:F,4,FALSE),"Non trouvé")</f>
        <v>Non trouvé</v>
      </c>
      <c r="J787" t="str">
        <f>IFERROR(VLOOKUP(C787,'Registre maintenance'!B:F,5,FALSE),"Non trouvé")</f>
        <v>Non trouvé</v>
      </c>
      <c r="K787" t="str">
        <f t="shared" si="119"/>
        <v>Mismatch</v>
      </c>
    </row>
    <row r="788" spans="1:11" x14ac:dyDescent="0.3">
      <c r="A788" t="s">
        <v>1323</v>
      </c>
      <c r="B788" s="1">
        <v>45228.621527777781</v>
      </c>
      <c r="C788" t="s">
        <v>856</v>
      </c>
      <c r="D788">
        <v>98</v>
      </c>
      <c r="E788" t="s">
        <v>797</v>
      </c>
      <c r="F788" s="4" t="s">
        <v>39</v>
      </c>
      <c r="G788" s="4" t="str">
        <f>IFERROR(VLOOKUP(C788,'Registre maintenance'!B:F,2,FALSE),"Non trouvé")</f>
        <v>Kwango</v>
      </c>
      <c r="H788">
        <f>IFERROR(VLOOKUP(C788,'Registre maintenance'!B:F,3,FALSE),"Non trouvé")</f>
        <v>-10.963041</v>
      </c>
      <c r="I788">
        <f>IFERROR(VLOOKUP(C788,'Registre maintenance'!B:F,4,FALSE),"Non trouvé")</f>
        <v>12.269857</v>
      </c>
      <c r="J788" t="str">
        <f>IFERROR(VLOOKUP(C788,'Registre maintenance'!B:F,5,FALSE),"Non trouvé")</f>
        <v>4G</v>
      </c>
      <c r="K788" t="str">
        <f t="shared" si="119"/>
        <v>OK</v>
      </c>
    </row>
    <row r="789" spans="1:11" x14ac:dyDescent="0.3">
      <c r="A789" t="s">
        <v>1323</v>
      </c>
      <c r="B789" s="1">
        <v>45209.388888888891</v>
      </c>
      <c r="C789" t="s">
        <v>1348</v>
      </c>
      <c r="D789">
        <v>44</v>
      </c>
      <c r="E789" t="s">
        <v>792</v>
      </c>
      <c r="F789" s="4" t="str">
        <f t="shared" ref="F789:F790" si="122">F788</f>
        <v>Kwango</v>
      </c>
      <c r="G789" s="4" t="str">
        <f>IFERROR(VLOOKUP(C789,'Registre maintenance'!B:F,2,FALSE),"Non trouvé")</f>
        <v>Non trouvé</v>
      </c>
      <c r="H789" t="str">
        <f>IFERROR(VLOOKUP(C789,'Registre maintenance'!B:F,3,FALSE),"Non trouvé")</f>
        <v>Non trouvé</v>
      </c>
      <c r="I789" t="str">
        <f>IFERROR(VLOOKUP(C789,'Registre maintenance'!B:F,4,FALSE),"Non trouvé")</f>
        <v>Non trouvé</v>
      </c>
      <c r="J789" t="str">
        <f>IFERROR(VLOOKUP(C789,'Registre maintenance'!B:F,5,FALSE),"Non trouvé")</f>
        <v>Non trouvé</v>
      </c>
      <c r="K789" t="str">
        <f t="shared" si="119"/>
        <v>Mismatch</v>
      </c>
    </row>
    <row r="790" spans="1:11" x14ac:dyDescent="0.3">
      <c r="A790" t="s">
        <v>1323</v>
      </c>
      <c r="B790" s="1">
        <v>45202.728472222218</v>
      </c>
      <c r="C790" t="s">
        <v>1273</v>
      </c>
      <c r="D790">
        <v>18</v>
      </c>
      <c r="E790" t="s">
        <v>792</v>
      </c>
      <c r="F790" s="4" t="str">
        <f t="shared" si="122"/>
        <v>Kwango</v>
      </c>
      <c r="G790" s="4" t="str">
        <f>IFERROR(VLOOKUP(C790,'Registre maintenance'!B:F,2,FALSE),"Non trouvé")</f>
        <v>Non trouvé</v>
      </c>
      <c r="H790" t="str">
        <f>IFERROR(VLOOKUP(C790,'Registre maintenance'!B:F,3,FALSE),"Non trouvé")</f>
        <v>Non trouvé</v>
      </c>
      <c r="I790" t="str">
        <f>IFERROR(VLOOKUP(C790,'Registre maintenance'!B:F,4,FALSE),"Non trouvé")</f>
        <v>Non trouvé</v>
      </c>
      <c r="J790" t="str">
        <f>IFERROR(VLOOKUP(C790,'Registre maintenance'!B:F,5,FALSE),"Non trouvé")</f>
        <v>Non trouvé</v>
      </c>
      <c r="K790" t="str">
        <f t="shared" si="119"/>
        <v>Mismatch</v>
      </c>
    </row>
    <row r="791" spans="1:11" x14ac:dyDescent="0.3">
      <c r="A791" t="s">
        <v>1323</v>
      </c>
      <c r="B791" s="1">
        <v>45200.466666666667</v>
      </c>
      <c r="C791" t="s">
        <v>1349</v>
      </c>
      <c r="D791">
        <v>31</v>
      </c>
      <c r="E791" t="s">
        <v>795</v>
      </c>
      <c r="F791" s="4" t="s">
        <v>66</v>
      </c>
      <c r="G791" s="4" t="str">
        <f>IFERROR(VLOOKUP(C791,'Registre maintenance'!B:F,2,FALSE),"Non trouvé")</f>
        <v>Lomami</v>
      </c>
      <c r="H791">
        <f>IFERROR(VLOOKUP(C791,'Registre maintenance'!B:F,3,FALSE),"Non trouvé")</f>
        <v>-9.5619429999999994</v>
      </c>
      <c r="I791">
        <f>IFERROR(VLOOKUP(C791,'Registre maintenance'!B:F,4,FALSE),"Non trouvé")</f>
        <v>21.445726000000001</v>
      </c>
      <c r="J791" t="str">
        <f>IFERROR(VLOOKUP(C791,'Registre maintenance'!B:F,5,FALSE),"Non trouvé")</f>
        <v>4G</v>
      </c>
      <c r="K791" t="str">
        <f t="shared" si="119"/>
        <v>OK</v>
      </c>
    </row>
    <row r="792" spans="1:11" x14ac:dyDescent="0.3">
      <c r="A792" t="s">
        <v>1323</v>
      </c>
      <c r="B792" s="1">
        <v>45225.553472222222</v>
      </c>
      <c r="C792" t="s">
        <v>1331</v>
      </c>
      <c r="D792">
        <v>120</v>
      </c>
      <c r="E792" t="s">
        <v>792</v>
      </c>
      <c r="F792" s="4" t="str">
        <f>F791</f>
        <v>Lomami</v>
      </c>
      <c r="G792" s="4" t="str">
        <f>IFERROR(VLOOKUP(C792,'Registre maintenance'!B:F,2,FALSE),"Non trouvé")</f>
        <v>Non trouvé</v>
      </c>
      <c r="H792" t="str">
        <f>IFERROR(VLOOKUP(C792,'Registre maintenance'!B:F,3,FALSE),"Non trouvé")</f>
        <v>Non trouvé</v>
      </c>
      <c r="I792" t="str">
        <f>IFERROR(VLOOKUP(C792,'Registre maintenance'!B:F,4,FALSE),"Non trouvé")</f>
        <v>Non trouvé</v>
      </c>
      <c r="J792" t="str">
        <f>IFERROR(VLOOKUP(C792,'Registre maintenance'!B:F,5,FALSE),"Non trouvé")</f>
        <v>Non trouvé</v>
      </c>
      <c r="K792" t="str">
        <f t="shared" si="119"/>
        <v>Mismatch</v>
      </c>
    </row>
    <row r="793" spans="1:11" x14ac:dyDescent="0.3">
      <c r="A793" t="s">
        <v>1350</v>
      </c>
      <c r="B793" s="1">
        <v>45226.209027777782</v>
      </c>
      <c r="C793" t="s">
        <v>1263</v>
      </c>
      <c r="D793">
        <v>81</v>
      </c>
      <c r="E793" t="s">
        <v>797</v>
      </c>
      <c r="F793" s="4" t="s">
        <v>87</v>
      </c>
      <c r="G793" s="4" t="str">
        <f>IFERROR(VLOOKUP(C793,'Registre maintenance'!B:F,2,FALSE),"Non trouvé")</f>
        <v>Nord-Ubangi</v>
      </c>
      <c r="H793">
        <f>IFERROR(VLOOKUP(C793,'Registre maintenance'!B:F,3,FALSE),"Non trouvé")</f>
        <v>-8.4985189999999999</v>
      </c>
      <c r="I793">
        <f>IFERROR(VLOOKUP(C793,'Registre maintenance'!B:F,4,FALSE),"Non trouvé")</f>
        <v>12.929456999999999</v>
      </c>
      <c r="J793" t="str">
        <f>IFERROR(VLOOKUP(C793,'Registre maintenance'!B:F,5,FALSE),"Non trouvé")</f>
        <v>4G</v>
      </c>
      <c r="K793" t="str">
        <f t="shared" si="119"/>
        <v>OK</v>
      </c>
    </row>
    <row r="794" spans="1:11" x14ac:dyDescent="0.3">
      <c r="A794" t="s">
        <v>1350</v>
      </c>
      <c r="B794" s="1">
        <v>45230.537499999999</v>
      </c>
      <c r="C794" t="s">
        <v>1351</v>
      </c>
      <c r="D794">
        <v>33</v>
      </c>
      <c r="E794" t="s">
        <v>795</v>
      </c>
      <c r="F794" s="4" t="str">
        <f>F793</f>
        <v>Nord-Ubangi</v>
      </c>
      <c r="G794" s="4" t="str">
        <f>IFERROR(VLOOKUP(C794,'Registre maintenance'!B:F,2,FALSE),"Non trouvé")</f>
        <v>Non trouvé</v>
      </c>
      <c r="H794" t="str">
        <f>IFERROR(VLOOKUP(C794,'Registre maintenance'!B:F,3,FALSE),"Non trouvé")</f>
        <v>Non trouvé</v>
      </c>
      <c r="I794" t="str">
        <f>IFERROR(VLOOKUP(C794,'Registre maintenance'!B:F,4,FALSE),"Non trouvé")</f>
        <v>Non trouvé</v>
      </c>
      <c r="J794" t="str">
        <f>IFERROR(VLOOKUP(C794,'Registre maintenance'!B:F,5,FALSE),"Non trouvé")</f>
        <v>Non trouvé</v>
      </c>
      <c r="K794" t="str">
        <f t="shared" si="119"/>
        <v>Mismatch</v>
      </c>
    </row>
    <row r="795" spans="1:11" x14ac:dyDescent="0.3">
      <c r="A795" t="s">
        <v>1350</v>
      </c>
      <c r="B795" s="1">
        <v>45214.740972222222</v>
      </c>
      <c r="C795" t="s">
        <v>1037</v>
      </c>
      <c r="D795">
        <v>8</v>
      </c>
      <c r="E795" t="s">
        <v>792</v>
      </c>
      <c r="F795" s="4" t="s">
        <v>129</v>
      </c>
      <c r="G795" s="4" t="str">
        <f>IFERROR(VLOOKUP(C795,'Registre maintenance'!B:F,2,FALSE),"Non trouvé")</f>
        <v>Nord-Kivu</v>
      </c>
      <c r="H795">
        <f>IFERROR(VLOOKUP(C795,'Registre maintenance'!B:F,3,FALSE),"Non trouvé")</f>
        <v>-10.846306999999999</v>
      </c>
      <c r="I795">
        <f>IFERROR(VLOOKUP(C795,'Registre maintenance'!B:F,4,FALSE),"Non trouvé")</f>
        <v>19.201827999999999</v>
      </c>
      <c r="J795" t="str">
        <f>IFERROR(VLOOKUP(C795,'Registre maintenance'!B:F,5,FALSE),"Non trouvé")</f>
        <v>4G</v>
      </c>
      <c r="K795" t="str">
        <f t="shared" si="119"/>
        <v>OK</v>
      </c>
    </row>
    <row r="796" spans="1:11" x14ac:dyDescent="0.3">
      <c r="A796" t="s">
        <v>1350</v>
      </c>
      <c r="B796" s="1">
        <v>45217.29583333333</v>
      </c>
      <c r="C796" t="s">
        <v>1352</v>
      </c>
      <c r="D796">
        <v>119</v>
      </c>
      <c r="E796" t="s">
        <v>792</v>
      </c>
      <c r="F796" s="4" t="str">
        <f>F795</f>
        <v>Nord-Kivu</v>
      </c>
      <c r="G796" s="4" t="str">
        <f>IFERROR(VLOOKUP(C796,'Registre maintenance'!B:F,2,FALSE),"Non trouvé")</f>
        <v>Non trouvé</v>
      </c>
      <c r="H796" t="str">
        <f>IFERROR(VLOOKUP(C796,'Registre maintenance'!B:F,3,FALSE),"Non trouvé")</f>
        <v>Non trouvé</v>
      </c>
      <c r="I796" t="str">
        <f>IFERROR(VLOOKUP(C796,'Registre maintenance'!B:F,4,FALSE),"Non trouvé")</f>
        <v>Non trouvé</v>
      </c>
      <c r="J796" t="str">
        <f>IFERROR(VLOOKUP(C796,'Registre maintenance'!B:F,5,FALSE),"Non trouvé")</f>
        <v>Non trouvé</v>
      </c>
      <c r="K796" t="str">
        <f t="shared" si="119"/>
        <v>Mismatch</v>
      </c>
    </row>
    <row r="797" spans="1:11" x14ac:dyDescent="0.3">
      <c r="A797" t="s">
        <v>1350</v>
      </c>
      <c r="B797" s="1">
        <v>45214.160416666673</v>
      </c>
      <c r="C797" t="s">
        <v>1235</v>
      </c>
      <c r="D797">
        <v>108</v>
      </c>
      <c r="E797" t="s">
        <v>797</v>
      </c>
      <c r="F797" s="4" t="s">
        <v>15</v>
      </c>
      <c r="G797" s="4" t="str">
        <f>IFERROR(VLOOKUP(C797,'Registre maintenance'!B:F,2,FALSE),"Non trouvé")</f>
        <v>Mongala</v>
      </c>
      <c r="H797">
        <f>IFERROR(VLOOKUP(C797,'Registre maintenance'!B:F,3,FALSE),"Non trouvé")</f>
        <v>-11.407966</v>
      </c>
      <c r="I797">
        <f>IFERROR(VLOOKUP(C797,'Registre maintenance'!B:F,4,FALSE),"Non trouvé")</f>
        <v>28.378274000000001</v>
      </c>
      <c r="J797" t="str">
        <f>IFERROR(VLOOKUP(C797,'Registre maintenance'!B:F,5,FALSE),"Non trouvé")</f>
        <v>4G</v>
      </c>
      <c r="K797" t="str">
        <f t="shared" si="119"/>
        <v>OK</v>
      </c>
    </row>
    <row r="798" spans="1:11" x14ac:dyDescent="0.3">
      <c r="A798" t="s">
        <v>1350</v>
      </c>
      <c r="B798" s="1">
        <v>45225.171527777777</v>
      </c>
      <c r="C798" t="s">
        <v>1353</v>
      </c>
      <c r="D798">
        <v>104</v>
      </c>
      <c r="E798" t="s">
        <v>795</v>
      </c>
      <c r="F798" s="4" t="s">
        <v>61</v>
      </c>
      <c r="G798" s="4" t="str">
        <f>IFERROR(VLOOKUP(C798,'Registre maintenance'!B:F,2,FALSE),"Non trouvé")</f>
        <v>Kongo-Central</v>
      </c>
      <c r="H798">
        <f>IFERROR(VLOOKUP(C798,'Registre maintenance'!B:F,3,FALSE),"Non trouvé")</f>
        <v>1.2463919999999999</v>
      </c>
      <c r="I798">
        <f>IFERROR(VLOOKUP(C798,'Registre maintenance'!B:F,4,FALSE),"Non trouvé")</f>
        <v>13.266916999999999</v>
      </c>
      <c r="J798" t="str">
        <f>IFERROR(VLOOKUP(C798,'Registre maintenance'!B:F,5,FALSE),"Non trouvé")</f>
        <v>5G</v>
      </c>
      <c r="K798" t="str">
        <f t="shared" si="119"/>
        <v>OK</v>
      </c>
    </row>
    <row r="799" spans="1:11" x14ac:dyDescent="0.3">
      <c r="A799" t="s">
        <v>1350</v>
      </c>
      <c r="B799" s="1">
        <v>45200.078472222223</v>
      </c>
      <c r="C799" t="s">
        <v>1030</v>
      </c>
      <c r="D799">
        <v>40</v>
      </c>
      <c r="E799" t="s">
        <v>792</v>
      </c>
      <c r="F799" s="4" t="s">
        <v>28</v>
      </c>
      <c r="G799" s="4" t="str">
        <f>IFERROR(VLOOKUP(C799,'Registre maintenance'!B:F,2,FALSE),"Non trouvé")</f>
        <v>Kasai</v>
      </c>
      <c r="H799">
        <f>IFERROR(VLOOKUP(C799,'Registre maintenance'!B:F,3,FALSE),"Non trouvé")</f>
        <v>-10.165072</v>
      </c>
      <c r="I799">
        <f>IFERROR(VLOOKUP(C799,'Registre maintenance'!B:F,4,FALSE),"Non trouvé")</f>
        <v>29.428024000000001</v>
      </c>
      <c r="J799" t="str">
        <f>IFERROR(VLOOKUP(C799,'Registre maintenance'!B:F,5,FALSE),"Non trouvé")</f>
        <v>5G</v>
      </c>
      <c r="K799" t="str">
        <f t="shared" si="119"/>
        <v>OK</v>
      </c>
    </row>
    <row r="800" spans="1:11" x14ac:dyDescent="0.3">
      <c r="A800" t="s">
        <v>1350</v>
      </c>
      <c r="B800" s="1">
        <v>45224.297222222223</v>
      </c>
      <c r="C800" t="s">
        <v>1354</v>
      </c>
      <c r="D800">
        <v>12</v>
      </c>
      <c r="E800" t="s">
        <v>797</v>
      </c>
      <c r="F800" s="4" t="str">
        <f t="shared" ref="F800:F801" si="123">F799</f>
        <v>Kasai</v>
      </c>
      <c r="G800" s="4" t="str">
        <f>IFERROR(VLOOKUP(C800,'Registre maintenance'!B:F,2,FALSE),"Non trouvé")</f>
        <v>Non trouvé</v>
      </c>
      <c r="H800" t="str">
        <f>IFERROR(VLOOKUP(C800,'Registre maintenance'!B:F,3,FALSE),"Non trouvé")</f>
        <v>Non trouvé</v>
      </c>
      <c r="I800" t="str">
        <f>IFERROR(VLOOKUP(C800,'Registre maintenance'!B:F,4,FALSE),"Non trouvé")</f>
        <v>Non trouvé</v>
      </c>
      <c r="J800" t="str">
        <f>IFERROR(VLOOKUP(C800,'Registre maintenance'!B:F,5,FALSE),"Non trouvé")</f>
        <v>Non trouvé</v>
      </c>
      <c r="K800" t="str">
        <f t="shared" si="119"/>
        <v>Mismatch</v>
      </c>
    </row>
    <row r="801" spans="1:11" x14ac:dyDescent="0.3">
      <c r="A801" t="s">
        <v>1350</v>
      </c>
      <c r="B801" s="1">
        <v>45206.515972222223</v>
      </c>
      <c r="C801" t="s">
        <v>1355</v>
      </c>
      <c r="D801">
        <v>108</v>
      </c>
      <c r="E801" t="s">
        <v>792</v>
      </c>
      <c r="F801" s="4" t="str">
        <f t="shared" si="123"/>
        <v>Kasai</v>
      </c>
      <c r="G801" s="4" t="str">
        <f>IFERROR(VLOOKUP(C801,'Registre maintenance'!B:F,2,FALSE),"Non trouvé")</f>
        <v>Non trouvé</v>
      </c>
      <c r="H801" t="str">
        <f>IFERROR(VLOOKUP(C801,'Registre maintenance'!B:F,3,FALSE),"Non trouvé")</f>
        <v>Non trouvé</v>
      </c>
      <c r="I801" t="str">
        <f>IFERROR(VLOOKUP(C801,'Registre maintenance'!B:F,4,FALSE),"Non trouvé")</f>
        <v>Non trouvé</v>
      </c>
      <c r="J801" t="str">
        <f>IFERROR(VLOOKUP(C801,'Registre maintenance'!B:F,5,FALSE),"Non trouvé")</f>
        <v>Non trouvé</v>
      </c>
      <c r="K801" t="str">
        <f t="shared" si="119"/>
        <v>Mismatch</v>
      </c>
    </row>
    <row r="802" spans="1:11" x14ac:dyDescent="0.3">
      <c r="A802" t="s">
        <v>1350</v>
      </c>
      <c r="B802" s="1">
        <v>45221.861805555563</v>
      </c>
      <c r="C802" t="s">
        <v>1356</v>
      </c>
      <c r="D802">
        <v>65</v>
      </c>
      <c r="E802" t="s">
        <v>792</v>
      </c>
      <c r="F802" s="4" t="s">
        <v>36</v>
      </c>
      <c r="G802" s="4" t="str">
        <f>IFERROR(VLOOKUP(C802,'Registre maintenance'!B:F,2,FALSE),"Non trouvé")</f>
        <v>Tanganyika</v>
      </c>
      <c r="H802">
        <f>IFERROR(VLOOKUP(C802,'Registre maintenance'!B:F,3,FALSE),"Non trouvé")</f>
        <v>-3.9148719999999999</v>
      </c>
      <c r="I802">
        <f>IFERROR(VLOOKUP(C802,'Registre maintenance'!B:F,4,FALSE),"Non trouvé")</f>
        <v>12.260933</v>
      </c>
      <c r="J802" t="str">
        <f>IFERROR(VLOOKUP(C802,'Registre maintenance'!B:F,5,FALSE),"Non trouvé")</f>
        <v>4G</v>
      </c>
      <c r="K802" t="str">
        <f t="shared" si="119"/>
        <v>OK</v>
      </c>
    </row>
    <row r="803" spans="1:11" x14ac:dyDescent="0.3">
      <c r="A803" t="s">
        <v>1350</v>
      </c>
      <c r="B803" s="1">
        <v>45202.775694444441</v>
      </c>
      <c r="C803" t="s">
        <v>1334</v>
      </c>
      <c r="D803">
        <v>72</v>
      </c>
      <c r="E803" t="s">
        <v>792</v>
      </c>
      <c r="F803" s="4" t="str">
        <f t="shared" ref="F803:F806" si="124">F802</f>
        <v>Tanganyika</v>
      </c>
      <c r="G803" s="4" t="str">
        <f>IFERROR(VLOOKUP(C803,'Registre maintenance'!B:F,2,FALSE),"Non trouvé")</f>
        <v>Non trouvé</v>
      </c>
      <c r="H803" t="str">
        <f>IFERROR(VLOOKUP(C803,'Registre maintenance'!B:F,3,FALSE),"Non trouvé")</f>
        <v>Non trouvé</v>
      </c>
      <c r="I803" t="str">
        <f>IFERROR(VLOOKUP(C803,'Registre maintenance'!B:F,4,FALSE),"Non trouvé")</f>
        <v>Non trouvé</v>
      </c>
      <c r="J803" t="str">
        <f>IFERROR(VLOOKUP(C803,'Registre maintenance'!B:F,5,FALSE),"Non trouvé")</f>
        <v>Non trouvé</v>
      </c>
      <c r="K803" t="str">
        <f t="shared" si="119"/>
        <v>Mismatch</v>
      </c>
    </row>
    <row r="804" spans="1:11" x14ac:dyDescent="0.3">
      <c r="A804" t="s">
        <v>1350</v>
      </c>
      <c r="B804" s="1">
        <v>45208.084027777782</v>
      </c>
      <c r="C804" t="s">
        <v>1357</v>
      </c>
      <c r="D804">
        <v>50</v>
      </c>
      <c r="E804" t="s">
        <v>795</v>
      </c>
      <c r="F804" s="4" t="str">
        <f t="shared" si="124"/>
        <v>Tanganyika</v>
      </c>
      <c r="G804" s="4" t="str">
        <f>IFERROR(VLOOKUP(C804,'Registre maintenance'!B:F,2,FALSE),"Non trouvé")</f>
        <v>Non trouvé</v>
      </c>
      <c r="H804" t="str">
        <f>IFERROR(VLOOKUP(C804,'Registre maintenance'!B:F,3,FALSE),"Non trouvé")</f>
        <v>Non trouvé</v>
      </c>
      <c r="I804" t="str">
        <f>IFERROR(VLOOKUP(C804,'Registre maintenance'!B:F,4,FALSE),"Non trouvé")</f>
        <v>Non trouvé</v>
      </c>
      <c r="J804" t="str">
        <f>IFERROR(VLOOKUP(C804,'Registre maintenance'!B:F,5,FALSE),"Non trouvé")</f>
        <v>Non trouvé</v>
      </c>
      <c r="K804" t="str">
        <f t="shared" si="119"/>
        <v>Mismatch</v>
      </c>
    </row>
    <row r="805" spans="1:11" x14ac:dyDescent="0.3">
      <c r="A805" t="s">
        <v>1350</v>
      </c>
      <c r="B805" s="1">
        <v>45202.289583333331</v>
      </c>
      <c r="C805" t="s">
        <v>930</v>
      </c>
      <c r="D805">
        <v>103</v>
      </c>
      <c r="E805" t="s">
        <v>795</v>
      </c>
      <c r="F805" s="4" t="str">
        <f t="shared" si="124"/>
        <v>Tanganyika</v>
      </c>
      <c r="G805" s="4" t="str">
        <f>IFERROR(VLOOKUP(C805,'Registre maintenance'!B:F,2,FALSE),"Non trouvé")</f>
        <v>Non trouvé</v>
      </c>
      <c r="H805" t="str">
        <f>IFERROR(VLOOKUP(C805,'Registre maintenance'!B:F,3,FALSE),"Non trouvé")</f>
        <v>Non trouvé</v>
      </c>
      <c r="I805" t="str">
        <f>IFERROR(VLOOKUP(C805,'Registre maintenance'!B:F,4,FALSE),"Non trouvé")</f>
        <v>Non trouvé</v>
      </c>
      <c r="J805" t="str">
        <f>IFERROR(VLOOKUP(C805,'Registre maintenance'!B:F,5,FALSE),"Non trouvé")</f>
        <v>Non trouvé</v>
      </c>
      <c r="K805" t="str">
        <f t="shared" si="119"/>
        <v>Mismatch</v>
      </c>
    </row>
    <row r="806" spans="1:11" x14ac:dyDescent="0.3">
      <c r="A806" t="s">
        <v>1350</v>
      </c>
      <c r="B806" s="1">
        <v>45220.618750000001</v>
      </c>
      <c r="C806" t="s">
        <v>1345</v>
      </c>
      <c r="D806">
        <v>79</v>
      </c>
      <c r="E806" t="s">
        <v>792</v>
      </c>
      <c r="F806" s="4" t="str">
        <f t="shared" si="124"/>
        <v>Tanganyika</v>
      </c>
      <c r="G806" s="4" t="str">
        <f>IFERROR(VLOOKUP(C806,'Registre maintenance'!B:F,2,FALSE),"Non trouvé")</f>
        <v>Non trouvé</v>
      </c>
      <c r="H806" t="str">
        <f>IFERROR(VLOOKUP(C806,'Registre maintenance'!B:F,3,FALSE),"Non trouvé")</f>
        <v>Non trouvé</v>
      </c>
      <c r="I806" t="str">
        <f>IFERROR(VLOOKUP(C806,'Registre maintenance'!B:F,4,FALSE),"Non trouvé")</f>
        <v>Non trouvé</v>
      </c>
      <c r="J806" t="str">
        <f>IFERROR(VLOOKUP(C806,'Registre maintenance'!B:F,5,FALSE),"Non trouvé")</f>
        <v>Non trouvé</v>
      </c>
      <c r="K806" t="str">
        <f t="shared" si="119"/>
        <v>Mismatch</v>
      </c>
    </row>
    <row r="807" spans="1:11" x14ac:dyDescent="0.3">
      <c r="A807" t="s">
        <v>1350</v>
      </c>
      <c r="B807" s="1">
        <v>45204.122916666667</v>
      </c>
      <c r="C807" t="s">
        <v>1262</v>
      </c>
      <c r="D807">
        <v>34</v>
      </c>
      <c r="E807" t="s">
        <v>792</v>
      </c>
      <c r="F807" s="4" t="s">
        <v>59</v>
      </c>
      <c r="G807" s="4" t="str">
        <f>IFERROR(VLOOKUP(C807,'Registre maintenance'!B:F,2,FALSE),"Non trouvé")</f>
        <v>Equateur</v>
      </c>
      <c r="H807">
        <f>IFERROR(VLOOKUP(C807,'Registre maintenance'!B:F,3,FALSE),"Non trouvé")</f>
        <v>-6.1490739999999997</v>
      </c>
      <c r="I807">
        <f>IFERROR(VLOOKUP(C807,'Registre maintenance'!B:F,4,FALSE),"Non trouvé")</f>
        <v>23.304411000000002</v>
      </c>
      <c r="J807" t="str">
        <f>IFERROR(VLOOKUP(C807,'Registre maintenance'!B:F,5,FALSE),"Non trouvé")</f>
        <v>5G</v>
      </c>
      <c r="K807" t="str">
        <f t="shared" si="119"/>
        <v>OK</v>
      </c>
    </row>
    <row r="808" spans="1:11" x14ac:dyDescent="0.3">
      <c r="A808" t="s">
        <v>1350</v>
      </c>
      <c r="B808" s="1">
        <v>45227.421527777777</v>
      </c>
      <c r="C808" t="s">
        <v>1328</v>
      </c>
      <c r="D808">
        <v>25</v>
      </c>
      <c r="E808" t="s">
        <v>795</v>
      </c>
      <c r="F808" s="4" t="str">
        <f t="shared" ref="F808:F809" si="125">F807</f>
        <v>Equateur</v>
      </c>
      <c r="G808" s="4" t="str">
        <f>IFERROR(VLOOKUP(C808,'Registre maintenance'!B:F,2,FALSE),"Non trouvé")</f>
        <v>Non trouvé</v>
      </c>
      <c r="H808" t="str">
        <f>IFERROR(VLOOKUP(C808,'Registre maintenance'!B:F,3,FALSE),"Non trouvé")</f>
        <v>Non trouvé</v>
      </c>
      <c r="I808" t="str">
        <f>IFERROR(VLOOKUP(C808,'Registre maintenance'!B:F,4,FALSE),"Non trouvé")</f>
        <v>Non trouvé</v>
      </c>
      <c r="J808" t="str">
        <f>IFERROR(VLOOKUP(C808,'Registre maintenance'!B:F,5,FALSE),"Non trouvé")</f>
        <v>Non trouvé</v>
      </c>
      <c r="K808" t="str">
        <f t="shared" si="119"/>
        <v>Mismatch</v>
      </c>
    </row>
    <row r="809" spans="1:11" x14ac:dyDescent="0.3">
      <c r="A809" t="s">
        <v>1350</v>
      </c>
      <c r="B809" s="1">
        <v>45201.585416666669</v>
      </c>
      <c r="C809" t="s">
        <v>1358</v>
      </c>
      <c r="D809">
        <v>17</v>
      </c>
      <c r="E809" t="s">
        <v>797</v>
      </c>
      <c r="F809" s="4" t="str">
        <f t="shared" si="125"/>
        <v>Equateur</v>
      </c>
      <c r="G809" s="4" t="str">
        <f>IFERROR(VLOOKUP(C809,'Registre maintenance'!B:F,2,FALSE),"Non trouvé")</f>
        <v>Non trouvé</v>
      </c>
      <c r="H809" t="str">
        <f>IFERROR(VLOOKUP(C809,'Registre maintenance'!B:F,3,FALSE),"Non trouvé")</f>
        <v>Non trouvé</v>
      </c>
      <c r="I809" t="str">
        <f>IFERROR(VLOOKUP(C809,'Registre maintenance'!B:F,4,FALSE),"Non trouvé")</f>
        <v>Non trouvé</v>
      </c>
      <c r="J809" t="str">
        <f>IFERROR(VLOOKUP(C809,'Registre maintenance'!B:F,5,FALSE),"Non trouvé")</f>
        <v>Non trouvé</v>
      </c>
      <c r="K809" t="str">
        <f t="shared" si="119"/>
        <v>Mismatch</v>
      </c>
    </row>
    <row r="810" spans="1:11" x14ac:dyDescent="0.3">
      <c r="A810" t="s">
        <v>1350</v>
      </c>
      <c r="B810" s="1">
        <v>45205.768750000003</v>
      </c>
      <c r="C810" t="s">
        <v>1359</v>
      </c>
      <c r="D810">
        <v>36</v>
      </c>
      <c r="E810" t="s">
        <v>792</v>
      </c>
      <c r="F810" s="4" t="s">
        <v>61</v>
      </c>
      <c r="G810" s="4" t="str">
        <f>IFERROR(VLOOKUP(C810,'Registre maintenance'!B:F,2,FALSE),"Non trouvé")</f>
        <v>Kongo-Central</v>
      </c>
      <c r="H810">
        <f>IFERROR(VLOOKUP(C810,'Registre maintenance'!B:F,3,FALSE),"Non trouvé")</f>
        <v>-0.469945</v>
      </c>
      <c r="I810">
        <f>IFERROR(VLOOKUP(C810,'Registre maintenance'!B:F,4,FALSE),"Non trouvé")</f>
        <v>21.038527999999999</v>
      </c>
      <c r="J810" t="str">
        <f>IFERROR(VLOOKUP(C810,'Registre maintenance'!B:F,5,FALSE),"Non trouvé")</f>
        <v>3G</v>
      </c>
      <c r="K810" t="str">
        <f t="shared" si="119"/>
        <v>OK</v>
      </c>
    </row>
    <row r="811" spans="1:11" x14ac:dyDescent="0.3">
      <c r="A811" t="s">
        <v>1350</v>
      </c>
      <c r="B811" s="1">
        <v>45226.975694444453</v>
      </c>
      <c r="C811" t="s">
        <v>978</v>
      </c>
      <c r="D811">
        <v>89</v>
      </c>
      <c r="E811" t="s">
        <v>797</v>
      </c>
      <c r="F811" s="4" t="str">
        <f t="shared" ref="F811:F814" si="126">F810</f>
        <v>Kongo-Central</v>
      </c>
      <c r="G811" s="4" t="str">
        <f>IFERROR(VLOOKUP(C811,'Registre maintenance'!B:F,2,FALSE),"Non trouvé")</f>
        <v>Non trouvé</v>
      </c>
      <c r="H811" t="str">
        <f>IFERROR(VLOOKUP(C811,'Registre maintenance'!B:F,3,FALSE),"Non trouvé")</f>
        <v>Non trouvé</v>
      </c>
      <c r="I811" t="str">
        <f>IFERROR(VLOOKUP(C811,'Registre maintenance'!B:F,4,FALSE),"Non trouvé")</f>
        <v>Non trouvé</v>
      </c>
      <c r="J811" t="str">
        <f>IFERROR(VLOOKUP(C811,'Registre maintenance'!B:F,5,FALSE),"Non trouvé")</f>
        <v>Non trouvé</v>
      </c>
      <c r="K811" t="str">
        <f t="shared" si="119"/>
        <v>Mismatch</v>
      </c>
    </row>
    <row r="812" spans="1:11" x14ac:dyDescent="0.3">
      <c r="A812" t="s">
        <v>1350</v>
      </c>
      <c r="B812" s="1">
        <v>45215.01666666667</v>
      </c>
      <c r="C812" t="s">
        <v>1360</v>
      </c>
      <c r="D812">
        <v>35</v>
      </c>
      <c r="E812" t="s">
        <v>795</v>
      </c>
      <c r="F812" s="4" t="str">
        <f t="shared" si="126"/>
        <v>Kongo-Central</v>
      </c>
      <c r="G812" s="4" t="str">
        <f>IFERROR(VLOOKUP(C812,'Registre maintenance'!B:F,2,FALSE),"Non trouvé")</f>
        <v>Non trouvé</v>
      </c>
      <c r="H812" t="str">
        <f>IFERROR(VLOOKUP(C812,'Registre maintenance'!B:F,3,FALSE),"Non trouvé")</f>
        <v>Non trouvé</v>
      </c>
      <c r="I812" t="str">
        <f>IFERROR(VLOOKUP(C812,'Registre maintenance'!B:F,4,FALSE),"Non trouvé")</f>
        <v>Non trouvé</v>
      </c>
      <c r="J812" t="str">
        <f>IFERROR(VLOOKUP(C812,'Registre maintenance'!B:F,5,FALSE),"Non trouvé")</f>
        <v>Non trouvé</v>
      </c>
      <c r="K812" t="str">
        <f t="shared" si="119"/>
        <v>Mismatch</v>
      </c>
    </row>
    <row r="813" spans="1:11" x14ac:dyDescent="0.3">
      <c r="A813" t="s">
        <v>1350</v>
      </c>
      <c r="B813" s="1">
        <v>45221.549305555563</v>
      </c>
      <c r="C813" t="s">
        <v>1361</v>
      </c>
      <c r="D813">
        <v>39</v>
      </c>
      <c r="E813" t="s">
        <v>795</v>
      </c>
      <c r="F813" s="4" t="str">
        <f t="shared" si="126"/>
        <v>Kongo-Central</v>
      </c>
      <c r="G813" s="4" t="str">
        <f>IFERROR(VLOOKUP(C813,'Registre maintenance'!B:F,2,FALSE),"Non trouvé")</f>
        <v>Non trouvé</v>
      </c>
      <c r="H813" t="str">
        <f>IFERROR(VLOOKUP(C813,'Registre maintenance'!B:F,3,FALSE),"Non trouvé")</f>
        <v>Non trouvé</v>
      </c>
      <c r="I813" t="str">
        <f>IFERROR(VLOOKUP(C813,'Registre maintenance'!B:F,4,FALSE),"Non trouvé")</f>
        <v>Non trouvé</v>
      </c>
      <c r="J813" t="str">
        <f>IFERROR(VLOOKUP(C813,'Registre maintenance'!B:F,5,FALSE),"Non trouvé")</f>
        <v>Non trouvé</v>
      </c>
      <c r="K813" t="str">
        <f t="shared" si="119"/>
        <v>Mismatch</v>
      </c>
    </row>
    <row r="814" spans="1:11" x14ac:dyDescent="0.3">
      <c r="A814" t="s">
        <v>1350</v>
      </c>
      <c r="B814" s="1">
        <v>45211.290277777778</v>
      </c>
      <c r="C814" t="s">
        <v>1362</v>
      </c>
      <c r="D814">
        <v>73</v>
      </c>
      <c r="E814" t="s">
        <v>797</v>
      </c>
      <c r="F814" s="4" t="str">
        <f t="shared" si="126"/>
        <v>Kongo-Central</v>
      </c>
      <c r="G814" s="4" t="str">
        <f>IFERROR(VLOOKUP(C814,'Registre maintenance'!B:F,2,FALSE),"Non trouvé")</f>
        <v>Non trouvé</v>
      </c>
      <c r="H814" t="str">
        <f>IFERROR(VLOOKUP(C814,'Registre maintenance'!B:F,3,FALSE),"Non trouvé")</f>
        <v>Non trouvé</v>
      </c>
      <c r="I814" t="str">
        <f>IFERROR(VLOOKUP(C814,'Registre maintenance'!B:F,4,FALSE),"Non trouvé")</f>
        <v>Non trouvé</v>
      </c>
      <c r="J814" t="str">
        <f>IFERROR(VLOOKUP(C814,'Registre maintenance'!B:F,5,FALSE),"Non trouvé")</f>
        <v>Non trouvé</v>
      </c>
      <c r="K814" t="str">
        <f t="shared" si="119"/>
        <v>Mismatch</v>
      </c>
    </row>
    <row r="815" spans="1:11" x14ac:dyDescent="0.3">
      <c r="A815" t="s">
        <v>1350</v>
      </c>
      <c r="B815" s="1">
        <v>45205.345138888893</v>
      </c>
      <c r="C815" t="s">
        <v>965</v>
      </c>
      <c r="D815">
        <v>109</v>
      </c>
      <c r="E815" t="s">
        <v>795</v>
      </c>
      <c r="F815" s="4" t="s">
        <v>66</v>
      </c>
      <c r="G815" s="4" t="str">
        <f>IFERROR(VLOOKUP(C815,'Registre maintenance'!B:F,2,FALSE),"Non trouvé")</f>
        <v>Lomami</v>
      </c>
      <c r="H815">
        <f>IFERROR(VLOOKUP(C815,'Registre maintenance'!B:F,3,FALSE),"Non trouvé")</f>
        <v>-2.2681789999999999</v>
      </c>
      <c r="I815">
        <f>IFERROR(VLOOKUP(C815,'Registre maintenance'!B:F,4,FALSE),"Non trouvé")</f>
        <v>25.699068</v>
      </c>
      <c r="J815" t="str">
        <f>IFERROR(VLOOKUP(C815,'Registre maintenance'!B:F,5,FALSE),"Non trouvé")</f>
        <v>3G</v>
      </c>
      <c r="K815" t="str">
        <f t="shared" si="119"/>
        <v>OK</v>
      </c>
    </row>
    <row r="816" spans="1:11" x14ac:dyDescent="0.3">
      <c r="A816" t="s">
        <v>1350</v>
      </c>
      <c r="B816" s="1">
        <v>45214.168055555558</v>
      </c>
      <c r="C816" t="s">
        <v>1363</v>
      </c>
      <c r="D816">
        <v>106</v>
      </c>
      <c r="E816" t="s">
        <v>792</v>
      </c>
      <c r="F816" s="4" t="str">
        <f t="shared" ref="F816:F818" si="127">F815</f>
        <v>Lomami</v>
      </c>
      <c r="G816" s="4" t="str">
        <f>IFERROR(VLOOKUP(C816,'Registre maintenance'!B:F,2,FALSE),"Non trouvé")</f>
        <v>Non trouvé</v>
      </c>
      <c r="H816" t="str">
        <f>IFERROR(VLOOKUP(C816,'Registre maintenance'!B:F,3,FALSE),"Non trouvé")</f>
        <v>Non trouvé</v>
      </c>
      <c r="I816" t="str">
        <f>IFERROR(VLOOKUP(C816,'Registre maintenance'!B:F,4,FALSE),"Non trouvé")</f>
        <v>Non trouvé</v>
      </c>
      <c r="J816" t="str">
        <f>IFERROR(VLOOKUP(C816,'Registre maintenance'!B:F,5,FALSE),"Non trouvé")</f>
        <v>Non trouvé</v>
      </c>
      <c r="K816" t="str">
        <f t="shared" si="119"/>
        <v>Mismatch</v>
      </c>
    </row>
    <row r="817" spans="1:11" x14ac:dyDescent="0.3">
      <c r="A817" t="s">
        <v>1350</v>
      </c>
      <c r="B817" s="1">
        <v>45219.818749999999</v>
      </c>
      <c r="C817" t="s">
        <v>974</v>
      </c>
      <c r="D817">
        <v>99</v>
      </c>
      <c r="E817" t="s">
        <v>797</v>
      </c>
      <c r="F817" s="4" t="str">
        <f t="shared" si="127"/>
        <v>Lomami</v>
      </c>
      <c r="G817" s="4" t="str">
        <f>IFERROR(VLOOKUP(C817,'Registre maintenance'!B:F,2,FALSE),"Non trouvé")</f>
        <v>Non trouvé</v>
      </c>
      <c r="H817" t="str">
        <f>IFERROR(VLOOKUP(C817,'Registre maintenance'!B:F,3,FALSE),"Non trouvé")</f>
        <v>Non trouvé</v>
      </c>
      <c r="I817" t="str">
        <f>IFERROR(VLOOKUP(C817,'Registre maintenance'!B:F,4,FALSE),"Non trouvé")</f>
        <v>Non trouvé</v>
      </c>
      <c r="J817" t="str">
        <f>IFERROR(VLOOKUP(C817,'Registre maintenance'!B:F,5,FALSE),"Non trouvé")</f>
        <v>Non trouvé</v>
      </c>
      <c r="K817" t="str">
        <f t="shared" si="119"/>
        <v>Mismatch</v>
      </c>
    </row>
    <row r="818" spans="1:11" x14ac:dyDescent="0.3">
      <c r="A818" t="s">
        <v>1350</v>
      </c>
      <c r="B818" s="1">
        <v>45207.845833333333</v>
      </c>
      <c r="C818" t="s">
        <v>1009</v>
      </c>
      <c r="D818">
        <v>12</v>
      </c>
      <c r="E818" t="s">
        <v>797</v>
      </c>
      <c r="F818" s="4" t="str">
        <f t="shared" si="127"/>
        <v>Lomami</v>
      </c>
      <c r="G818" s="4" t="str">
        <f>IFERROR(VLOOKUP(C818,'Registre maintenance'!B:F,2,FALSE),"Non trouvé")</f>
        <v>Non trouvé</v>
      </c>
      <c r="H818" t="str">
        <f>IFERROR(VLOOKUP(C818,'Registre maintenance'!B:F,3,FALSE),"Non trouvé")</f>
        <v>Non trouvé</v>
      </c>
      <c r="I818" t="str">
        <f>IFERROR(VLOOKUP(C818,'Registre maintenance'!B:F,4,FALSE),"Non trouvé")</f>
        <v>Non trouvé</v>
      </c>
      <c r="J818" t="str">
        <f>IFERROR(VLOOKUP(C818,'Registre maintenance'!B:F,5,FALSE),"Non trouvé")</f>
        <v>Non trouvé</v>
      </c>
      <c r="K818" t="str">
        <f t="shared" si="119"/>
        <v>Mismatch</v>
      </c>
    </row>
    <row r="819" spans="1:11" x14ac:dyDescent="0.3">
      <c r="A819" t="s">
        <v>1350</v>
      </c>
      <c r="B819" s="1">
        <v>45215.580555555563</v>
      </c>
      <c r="C819" t="s">
        <v>1022</v>
      </c>
      <c r="D819">
        <v>102</v>
      </c>
      <c r="E819" t="s">
        <v>797</v>
      </c>
      <c r="F819" s="4" t="s">
        <v>72</v>
      </c>
      <c r="G819" s="4" t="str">
        <f>IFERROR(VLOOKUP(C819,'Registre maintenance'!B:F,2,FALSE),"Non trouvé")</f>
        <v>Tshopo</v>
      </c>
      <c r="H819">
        <f>IFERROR(VLOOKUP(C819,'Registre maintenance'!B:F,3,FALSE),"Non trouvé")</f>
        <v>2.4425979999999998</v>
      </c>
      <c r="I819">
        <f>IFERROR(VLOOKUP(C819,'Registre maintenance'!B:F,4,FALSE),"Non trouvé")</f>
        <v>24.924308</v>
      </c>
      <c r="J819" t="str">
        <f>IFERROR(VLOOKUP(C819,'Registre maintenance'!B:F,5,FALSE),"Non trouvé")</f>
        <v>5G</v>
      </c>
      <c r="K819" t="str">
        <f t="shared" si="119"/>
        <v>OK</v>
      </c>
    </row>
    <row r="820" spans="1:11" x14ac:dyDescent="0.3">
      <c r="A820" t="s">
        <v>1350</v>
      </c>
      <c r="B820" s="1">
        <v>45217.627083333333</v>
      </c>
      <c r="C820" t="s">
        <v>941</v>
      </c>
      <c r="D820">
        <v>33</v>
      </c>
      <c r="E820" t="s">
        <v>792</v>
      </c>
      <c r="F820" s="4" t="str">
        <f>F819</f>
        <v>Tshopo</v>
      </c>
      <c r="G820" s="4" t="str">
        <f>IFERROR(VLOOKUP(C820,'Registre maintenance'!B:F,2,FALSE),"Non trouvé")</f>
        <v>Non trouvé</v>
      </c>
      <c r="H820" t="str">
        <f>IFERROR(VLOOKUP(C820,'Registre maintenance'!B:F,3,FALSE),"Non trouvé")</f>
        <v>Non trouvé</v>
      </c>
      <c r="I820" t="str">
        <f>IFERROR(VLOOKUP(C820,'Registre maintenance'!B:F,4,FALSE),"Non trouvé")</f>
        <v>Non trouvé</v>
      </c>
      <c r="J820" t="str">
        <f>IFERROR(VLOOKUP(C820,'Registre maintenance'!B:F,5,FALSE),"Non trouvé")</f>
        <v>Non trouvé</v>
      </c>
      <c r="K820" t="str">
        <f t="shared" si="119"/>
        <v>Mismatch</v>
      </c>
    </row>
    <row r="821" spans="1:11" x14ac:dyDescent="0.3">
      <c r="A821" t="s">
        <v>1350</v>
      </c>
      <c r="B821" s="1">
        <v>45202.35</v>
      </c>
      <c r="C821" t="s">
        <v>1364</v>
      </c>
      <c r="D821">
        <v>78</v>
      </c>
      <c r="E821" t="s">
        <v>792</v>
      </c>
      <c r="F821" s="4" t="s">
        <v>15</v>
      </c>
      <c r="G821" s="4" t="str">
        <f>IFERROR(VLOOKUP(C821,'Registre maintenance'!B:F,2,FALSE),"Non trouvé")</f>
        <v>Mongala</v>
      </c>
      <c r="H821">
        <f>IFERROR(VLOOKUP(C821,'Registre maintenance'!B:F,3,FALSE),"Non trouvé")</f>
        <v>4.0988100000000003</v>
      </c>
      <c r="I821">
        <f>IFERROR(VLOOKUP(C821,'Registre maintenance'!B:F,4,FALSE),"Non trouvé")</f>
        <v>29.843810999999999</v>
      </c>
      <c r="J821" t="str">
        <f>IFERROR(VLOOKUP(C821,'Registre maintenance'!B:F,5,FALSE),"Non trouvé")</f>
        <v>3G</v>
      </c>
      <c r="K821" t="str">
        <f t="shared" si="119"/>
        <v>OK</v>
      </c>
    </row>
    <row r="822" spans="1:11" x14ac:dyDescent="0.3">
      <c r="A822" t="s">
        <v>1350</v>
      </c>
      <c r="B822" s="1">
        <v>45204.55</v>
      </c>
      <c r="C822" t="s">
        <v>1016</v>
      </c>
      <c r="D822">
        <v>113</v>
      </c>
      <c r="E822" t="s">
        <v>795</v>
      </c>
      <c r="F822" s="4" t="s">
        <v>61</v>
      </c>
      <c r="G822" s="4" t="str">
        <f>IFERROR(VLOOKUP(C822,'Registre maintenance'!B:F,2,FALSE),"Non trouvé")</f>
        <v>Kongo-Central</v>
      </c>
      <c r="H822">
        <f>IFERROR(VLOOKUP(C822,'Registre maintenance'!B:F,3,FALSE),"Non trouvé")</f>
        <v>2.975352</v>
      </c>
      <c r="I822">
        <f>IFERROR(VLOOKUP(C822,'Registre maintenance'!B:F,4,FALSE),"Non trouvé")</f>
        <v>22.535886000000001</v>
      </c>
      <c r="J822" t="str">
        <f>IFERROR(VLOOKUP(C822,'Registre maintenance'!B:F,5,FALSE),"Non trouvé")</f>
        <v>4G</v>
      </c>
      <c r="K822" t="str">
        <f t="shared" si="119"/>
        <v>OK</v>
      </c>
    </row>
    <row r="823" spans="1:11" x14ac:dyDescent="0.3">
      <c r="A823" t="s">
        <v>1350</v>
      </c>
      <c r="B823" s="1">
        <v>45220.677083333343</v>
      </c>
      <c r="C823" t="s">
        <v>1365</v>
      </c>
      <c r="D823">
        <v>107</v>
      </c>
      <c r="E823" t="s">
        <v>797</v>
      </c>
      <c r="F823" s="4" t="s">
        <v>72</v>
      </c>
      <c r="G823" s="4" t="str">
        <f>IFERROR(VLOOKUP(C823,'Registre maintenance'!B:F,2,FALSE),"Non trouvé")</f>
        <v>Tshopo</v>
      </c>
      <c r="H823">
        <f>IFERROR(VLOOKUP(C823,'Registre maintenance'!B:F,3,FALSE),"Non trouvé")</f>
        <v>-6.4670189999999996</v>
      </c>
      <c r="I823">
        <f>IFERROR(VLOOKUP(C823,'Registre maintenance'!B:F,4,FALSE),"Non trouvé")</f>
        <v>29.487309</v>
      </c>
      <c r="J823" t="str">
        <f>IFERROR(VLOOKUP(C823,'Registre maintenance'!B:F,5,FALSE),"Non trouvé")</f>
        <v>4G</v>
      </c>
      <c r="K823" t="str">
        <f t="shared" si="119"/>
        <v>OK</v>
      </c>
    </row>
    <row r="824" spans="1:11" x14ac:dyDescent="0.3">
      <c r="A824" t="s">
        <v>1350</v>
      </c>
      <c r="B824" s="1">
        <v>45220.743055555547</v>
      </c>
      <c r="C824" t="s">
        <v>1181</v>
      </c>
      <c r="D824">
        <v>54</v>
      </c>
      <c r="E824" t="s">
        <v>795</v>
      </c>
      <c r="F824" s="4" t="s">
        <v>129</v>
      </c>
      <c r="G824" s="4" t="str">
        <f>IFERROR(VLOOKUP(C824,'Registre maintenance'!B:F,2,FALSE),"Non trouvé")</f>
        <v>Nord-Kivu</v>
      </c>
      <c r="H824">
        <f>IFERROR(VLOOKUP(C824,'Registre maintenance'!B:F,3,FALSE),"Non trouvé")</f>
        <v>-5.42171</v>
      </c>
      <c r="I824">
        <f>IFERROR(VLOOKUP(C824,'Registre maintenance'!B:F,4,FALSE),"Non trouvé")</f>
        <v>24.202960999999998</v>
      </c>
      <c r="J824" t="str">
        <f>IFERROR(VLOOKUP(C824,'Registre maintenance'!B:F,5,FALSE),"Non trouvé")</f>
        <v>5G</v>
      </c>
      <c r="K824" t="str">
        <f t="shared" si="119"/>
        <v>OK</v>
      </c>
    </row>
    <row r="825" spans="1:11" x14ac:dyDescent="0.3">
      <c r="A825" t="s">
        <v>1350</v>
      </c>
      <c r="B825" s="1">
        <v>45200.534722222219</v>
      </c>
      <c r="C825" t="s">
        <v>1366</v>
      </c>
      <c r="D825">
        <v>50</v>
      </c>
      <c r="E825" t="s">
        <v>797</v>
      </c>
      <c r="F825" s="4" t="s">
        <v>12</v>
      </c>
      <c r="G825" s="4" t="str">
        <f>IFERROR(VLOOKUP(C825,'Registre maintenance'!B:F,2,FALSE),"Non trouvé")</f>
        <v>Tshuapa</v>
      </c>
      <c r="H825">
        <f>IFERROR(VLOOKUP(C825,'Registre maintenance'!B:F,3,FALSE),"Non trouvé")</f>
        <v>-7.7587710000000003</v>
      </c>
      <c r="I825">
        <f>IFERROR(VLOOKUP(C825,'Registre maintenance'!B:F,4,FALSE),"Non trouvé")</f>
        <v>17.880848</v>
      </c>
      <c r="J825" t="str">
        <f>IFERROR(VLOOKUP(C825,'Registre maintenance'!B:F,5,FALSE),"Non trouvé")</f>
        <v>3G</v>
      </c>
      <c r="K825" t="str">
        <f t="shared" si="119"/>
        <v>OK</v>
      </c>
    </row>
    <row r="826" spans="1:11" x14ac:dyDescent="0.3">
      <c r="A826" t="s">
        <v>1350</v>
      </c>
      <c r="B826" s="1">
        <v>45222.479166666657</v>
      </c>
      <c r="C826" t="s">
        <v>1367</v>
      </c>
      <c r="D826">
        <v>112</v>
      </c>
      <c r="E826" t="s">
        <v>795</v>
      </c>
      <c r="F826" s="4" t="s">
        <v>125</v>
      </c>
      <c r="G826" s="4" t="str">
        <f>IFERROR(VLOOKUP(C826,'Registre maintenance'!B:F,2,FALSE),"Non trouvé")</f>
        <v>Haut-Uele</v>
      </c>
      <c r="H826">
        <f>IFERROR(VLOOKUP(C826,'Registre maintenance'!B:F,3,FALSE),"Non trouvé")</f>
        <v>-8.8118569999999998</v>
      </c>
      <c r="I826">
        <f>IFERROR(VLOOKUP(C826,'Registre maintenance'!B:F,4,FALSE),"Non trouvé")</f>
        <v>14.465711000000001</v>
      </c>
      <c r="J826" t="str">
        <f>IFERROR(VLOOKUP(C826,'Registre maintenance'!B:F,5,FALSE),"Non trouvé")</f>
        <v>5G</v>
      </c>
      <c r="K826" t="str">
        <f t="shared" si="119"/>
        <v>OK</v>
      </c>
    </row>
    <row r="827" spans="1:11" x14ac:dyDescent="0.3">
      <c r="A827" t="s">
        <v>1350</v>
      </c>
      <c r="B827" s="1">
        <v>45217.640277777777</v>
      </c>
      <c r="C827" t="s">
        <v>1368</v>
      </c>
      <c r="D827">
        <v>113</v>
      </c>
      <c r="E827" t="s">
        <v>797</v>
      </c>
      <c r="F827" s="4" t="str">
        <f t="shared" ref="F827:F829" si="128">F826</f>
        <v>Haut-Uele</v>
      </c>
      <c r="G827" s="4" t="str">
        <f>IFERROR(VLOOKUP(C827,'Registre maintenance'!B:F,2,FALSE),"Non trouvé")</f>
        <v>Non trouvé</v>
      </c>
      <c r="H827" t="str">
        <f>IFERROR(VLOOKUP(C827,'Registre maintenance'!B:F,3,FALSE),"Non trouvé")</f>
        <v>Non trouvé</v>
      </c>
      <c r="I827" t="str">
        <f>IFERROR(VLOOKUP(C827,'Registre maintenance'!B:F,4,FALSE),"Non trouvé")</f>
        <v>Non trouvé</v>
      </c>
      <c r="J827" t="str">
        <f>IFERROR(VLOOKUP(C827,'Registre maintenance'!B:F,5,FALSE),"Non trouvé")</f>
        <v>Non trouvé</v>
      </c>
      <c r="K827" t="str">
        <f t="shared" si="119"/>
        <v>Mismatch</v>
      </c>
    </row>
    <row r="828" spans="1:11" x14ac:dyDescent="0.3">
      <c r="A828" t="s">
        <v>1350</v>
      </c>
      <c r="B828" s="1">
        <v>45229.772222222222</v>
      </c>
      <c r="C828" t="s">
        <v>1243</v>
      </c>
      <c r="D828">
        <v>27</v>
      </c>
      <c r="E828" t="s">
        <v>792</v>
      </c>
      <c r="F828" s="4" t="str">
        <f t="shared" si="128"/>
        <v>Haut-Uele</v>
      </c>
      <c r="G828" s="4" t="str">
        <f>IFERROR(VLOOKUP(C828,'Registre maintenance'!B:F,2,FALSE),"Non trouvé")</f>
        <v>Non trouvé</v>
      </c>
      <c r="H828" t="str">
        <f>IFERROR(VLOOKUP(C828,'Registre maintenance'!B:F,3,FALSE),"Non trouvé")</f>
        <v>Non trouvé</v>
      </c>
      <c r="I828" t="str">
        <f>IFERROR(VLOOKUP(C828,'Registre maintenance'!B:F,4,FALSE),"Non trouvé")</f>
        <v>Non trouvé</v>
      </c>
      <c r="J828" t="str">
        <f>IFERROR(VLOOKUP(C828,'Registre maintenance'!B:F,5,FALSE),"Non trouvé")</f>
        <v>Non trouvé</v>
      </c>
      <c r="K828" t="str">
        <f t="shared" si="119"/>
        <v>Mismatch</v>
      </c>
    </row>
    <row r="829" spans="1:11" x14ac:dyDescent="0.3">
      <c r="A829" t="s">
        <v>1350</v>
      </c>
      <c r="B829" s="1">
        <v>45210.511805555558</v>
      </c>
      <c r="C829" t="s">
        <v>1369</v>
      </c>
      <c r="D829">
        <v>27</v>
      </c>
      <c r="E829" t="s">
        <v>795</v>
      </c>
      <c r="F829" s="4" t="str">
        <f t="shared" si="128"/>
        <v>Haut-Uele</v>
      </c>
      <c r="G829" s="4" t="str">
        <f>IFERROR(VLOOKUP(C829,'Registre maintenance'!B:F,2,FALSE),"Non trouvé")</f>
        <v>Non trouvé</v>
      </c>
      <c r="H829" t="str">
        <f>IFERROR(VLOOKUP(C829,'Registre maintenance'!B:F,3,FALSE),"Non trouvé")</f>
        <v>Non trouvé</v>
      </c>
      <c r="I829" t="str">
        <f>IFERROR(VLOOKUP(C829,'Registre maintenance'!B:F,4,FALSE),"Non trouvé")</f>
        <v>Non trouvé</v>
      </c>
      <c r="J829" t="str">
        <f>IFERROR(VLOOKUP(C829,'Registre maintenance'!B:F,5,FALSE),"Non trouvé")</f>
        <v>Non trouvé</v>
      </c>
      <c r="K829" t="str">
        <f t="shared" si="119"/>
        <v>Mismatch</v>
      </c>
    </row>
    <row r="830" spans="1:11" x14ac:dyDescent="0.3">
      <c r="A830" t="s">
        <v>1350</v>
      </c>
      <c r="B830" s="1">
        <v>45205.013888888891</v>
      </c>
      <c r="C830" t="s">
        <v>823</v>
      </c>
      <c r="D830">
        <v>35</v>
      </c>
      <c r="E830" t="s">
        <v>795</v>
      </c>
      <c r="F830" s="4" t="s">
        <v>87</v>
      </c>
      <c r="G830" s="4" t="str">
        <f>IFERROR(VLOOKUP(C830,'Registre maintenance'!B:F,2,FALSE),"Non trouvé")</f>
        <v>Nord-Ubangi</v>
      </c>
      <c r="H830">
        <f>IFERROR(VLOOKUP(C830,'Registre maintenance'!B:F,3,FALSE),"Non trouvé")</f>
        <v>-8.1437910000000002</v>
      </c>
      <c r="I830">
        <f>IFERROR(VLOOKUP(C830,'Registre maintenance'!B:F,4,FALSE),"Non trouvé")</f>
        <v>28.946161</v>
      </c>
      <c r="J830" t="str">
        <f>IFERROR(VLOOKUP(C830,'Registre maintenance'!B:F,5,FALSE),"Non trouvé")</f>
        <v>4G</v>
      </c>
      <c r="K830" t="str">
        <f t="shared" si="119"/>
        <v>OK</v>
      </c>
    </row>
    <row r="831" spans="1:11" x14ac:dyDescent="0.3">
      <c r="A831" t="s">
        <v>1370</v>
      </c>
      <c r="B831" s="1">
        <v>45226.224999999999</v>
      </c>
      <c r="C831" t="s">
        <v>1371</v>
      </c>
      <c r="D831">
        <v>11</v>
      </c>
      <c r="E831" t="s">
        <v>795</v>
      </c>
      <c r="F831" s="4" t="str">
        <f>F830</f>
        <v>Nord-Ubangi</v>
      </c>
      <c r="G831" s="4" t="str">
        <f>IFERROR(VLOOKUP(C831,'Registre maintenance'!B:F,2,FALSE),"Non trouvé")</f>
        <v>Non trouvé</v>
      </c>
      <c r="H831" t="str">
        <f>IFERROR(VLOOKUP(C831,'Registre maintenance'!B:F,3,FALSE),"Non trouvé")</f>
        <v>Non trouvé</v>
      </c>
      <c r="I831" t="str">
        <f>IFERROR(VLOOKUP(C831,'Registre maintenance'!B:F,4,FALSE),"Non trouvé")</f>
        <v>Non trouvé</v>
      </c>
      <c r="J831" t="str">
        <f>IFERROR(VLOOKUP(C831,'Registre maintenance'!B:F,5,FALSE),"Non trouvé")</f>
        <v>Non trouvé</v>
      </c>
      <c r="K831" t="str">
        <f t="shared" si="119"/>
        <v>Mismatch</v>
      </c>
    </row>
    <row r="832" spans="1:11" x14ac:dyDescent="0.3">
      <c r="A832" t="s">
        <v>1370</v>
      </c>
      <c r="B832" s="1">
        <v>45209.988888888889</v>
      </c>
      <c r="C832" t="s">
        <v>1262</v>
      </c>
      <c r="D832">
        <v>51</v>
      </c>
      <c r="E832" t="s">
        <v>795</v>
      </c>
      <c r="F832" s="4" t="s">
        <v>59</v>
      </c>
      <c r="G832" s="4" t="str">
        <f>IFERROR(VLOOKUP(C832,'Registre maintenance'!B:F,2,FALSE),"Non trouvé")</f>
        <v>Equateur</v>
      </c>
      <c r="H832">
        <f>IFERROR(VLOOKUP(C832,'Registre maintenance'!B:F,3,FALSE),"Non trouvé")</f>
        <v>-6.1490739999999997</v>
      </c>
      <c r="I832">
        <f>IFERROR(VLOOKUP(C832,'Registre maintenance'!B:F,4,FALSE),"Non trouvé")</f>
        <v>23.304411000000002</v>
      </c>
      <c r="J832" t="str">
        <f>IFERROR(VLOOKUP(C832,'Registre maintenance'!B:F,5,FALSE),"Non trouvé")</f>
        <v>5G</v>
      </c>
      <c r="K832" t="str">
        <f t="shared" si="119"/>
        <v>OK</v>
      </c>
    </row>
    <row r="833" spans="1:11" x14ac:dyDescent="0.3">
      <c r="A833" t="s">
        <v>1370</v>
      </c>
      <c r="B833" s="1">
        <v>45209.174305555563</v>
      </c>
      <c r="C833" t="s">
        <v>1346</v>
      </c>
      <c r="D833">
        <v>5</v>
      </c>
      <c r="E833" t="s">
        <v>792</v>
      </c>
      <c r="F833" s="4" t="str">
        <f t="shared" ref="F833:F835" si="129">F832</f>
        <v>Equateur</v>
      </c>
      <c r="G833" s="4" t="str">
        <f>IFERROR(VLOOKUP(C833,'Registre maintenance'!B:F,2,FALSE),"Non trouvé")</f>
        <v>Non trouvé</v>
      </c>
      <c r="H833" t="str">
        <f>IFERROR(VLOOKUP(C833,'Registre maintenance'!B:F,3,FALSE),"Non trouvé")</f>
        <v>Non trouvé</v>
      </c>
      <c r="I833" t="str">
        <f>IFERROR(VLOOKUP(C833,'Registre maintenance'!B:F,4,FALSE),"Non trouvé")</f>
        <v>Non trouvé</v>
      </c>
      <c r="J833" t="str">
        <f>IFERROR(VLOOKUP(C833,'Registre maintenance'!B:F,5,FALSE),"Non trouvé")</f>
        <v>Non trouvé</v>
      </c>
      <c r="K833" t="str">
        <f t="shared" si="119"/>
        <v>Mismatch</v>
      </c>
    </row>
    <row r="834" spans="1:11" x14ac:dyDescent="0.3">
      <c r="A834" t="s">
        <v>1370</v>
      </c>
      <c r="B834" s="1">
        <v>45223.030555555553</v>
      </c>
      <c r="C834" t="s">
        <v>1372</v>
      </c>
      <c r="D834">
        <v>59</v>
      </c>
      <c r="E834" t="s">
        <v>792</v>
      </c>
      <c r="F834" s="4" t="str">
        <f t="shared" si="129"/>
        <v>Equateur</v>
      </c>
      <c r="G834" s="4" t="str">
        <f>IFERROR(VLOOKUP(C834,'Registre maintenance'!B:F,2,FALSE),"Non trouvé")</f>
        <v>Non trouvé</v>
      </c>
      <c r="H834" t="str">
        <f>IFERROR(VLOOKUP(C834,'Registre maintenance'!B:F,3,FALSE),"Non trouvé")</f>
        <v>Non trouvé</v>
      </c>
      <c r="I834" t="str">
        <f>IFERROR(VLOOKUP(C834,'Registre maintenance'!B:F,4,FALSE),"Non trouvé")</f>
        <v>Non trouvé</v>
      </c>
      <c r="J834" t="str">
        <f>IFERROR(VLOOKUP(C834,'Registre maintenance'!B:F,5,FALSE),"Non trouvé")</f>
        <v>Non trouvé</v>
      </c>
      <c r="K834" t="str">
        <f t="shared" ref="K834:K897" si="130">IF(F834=G834,"OK","Mismatch")</f>
        <v>Mismatch</v>
      </c>
    </row>
    <row r="835" spans="1:11" x14ac:dyDescent="0.3">
      <c r="A835" t="s">
        <v>1370</v>
      </c>
      <c r="B835" s="1">
        <v>45230.767361111109</v>
      </c>
      <c r="C835" t="s">
        <v>1373</v>
      </c>
      <c r="D835">
        <v>16</v>
      </c>
      <c r="E835" t="s">
        <v>797</v>
      </c>
      <c r="F835" s="4" t="str">
        <f t="shared" si="129"/>
        <v>Equateur</v>
      </c>
      <c r="G835" s="4" t="str">
        <f>IFERROR(VLOOKUP(C835,'Registre maintenance'!B:F,2,FALSE),"Non trouvé")</f>
        <v>Non trouvé</v>
      </c>
      <c r="H835" t="str">
        <f>IFERROR(VLOOKUP(C835,'Registre maintenance'!B:F,3,FALSE),"Non trouvé")</f>
        <v>Non trouvé</v>
      </c>
      <c r="I835" t="str">
        <f>IFERROR(VLOOKUP(C835,'Registre maintenance'!B:F,4,FALSE),"Non trouvé")</f>
        <v>Non trouvé</v>
      </c>
      <c r="J835" t="str">
        <f>IFERROR(VLOOKUP(C835,'Registre maintenance'!B:F,5,FALSE),"Non trouvé")</f>
        <v>Non trouvé</v>
      </c>
      <c r="K835" t="str">
        <f t="shared" si="130"/>
        <v>Mismatch</v>
      </c>
    </row>
    <row r="836" spans="1:11" x14ac:dyDescent="0.3">
      <c r="A836" t="s">
        <v>1370</v>
      </c>
      <c r="B836" s="1">
        <v>45227.751388888893</v>
      </c>
      <c r="C836" t="s">
        <v>1250</v>
      </c>
      <c r="D836">
        <v>42</v>
      </c>
      <c r="E836" t="s">
        <v>792</v>
      </c>
      <c r="F836" s="4" t="s">
        <v>30</v>
      </c>
      <c r="G836" s="4" t="str">
        <f>IFERROR(VLOOKUP(C836,'Registre maintenance'!B:F,2,FALSE),"Non trouvé")</f>
        <v>Sud-Ubangi</v>
      </c>
      <c r="H836">
        <f>IFERROR(VLOOKUP(C836,'Registre maintenance'!B:F,3,FALSE),"Non trouvé")</f>
        <v>-12.050063</v>
      </c>
      <c r="I836">
        <f>IFERROR(VLOOKUP(C836,'Registre maintenance'!B:F,4,FALSE),"Non trouvé")</f>
        <v>26.636987999999999</v>
      </c>
      <c r="J836" t="str">
        <f>IFERROR(VLOOKUP(C836,'Registre maintenance'!B:F,5,FALSE),"Non trouvé")</f>
        <v>3G</v>
      </c>
      <c r="K836" t="str">
        <f t="shared" si="130"/>
        <v>OK</v>
      </c>
    </row>
    <row r="837" spans="1:11" x14ac:dyDescent="0.3">
      <c r="A837" t="s">
        <v>1370</v>
      </c>
      <c r="B837" s="1">
        <v>45205.805555555547</v>
      </c>
      <c r="C837" t="s">
        <v>1374</v>
      </c>
      <c r="D837">
        <v>110</v>
      </c>
      <c r="E837" t="s">
        <v>792</v>
      </c>
      <c r="F837" s="4" t="str">
        <f t="shared" ref="F837:F838" si="131">F836</f>
        <v>Sud-Ubangi</v>
      </c>
      <c r="G837" s="4" t="str">
        <f>IFERROR(VLOOKUP(C837,'Registre maintenance'!B:F,2,FALSE),"Non trouvé")</f>
        <v>Non trouvé</v>
      </c>
      <c r="H837" t="str">
        <f>IFERROR(VLOOKUP(C837,'Registre maintenance'!B:F,3,FALSE),"Non trouvé")</f>
        <v>Non trouvé</v>
      </c>
      <c r="I837" t="str">
        <f>IFERROR(VLOOKUP(C837,'Registre maintenance'!B:F,4,FALSE),"Non trouvé")</f>
        <v>Non trouvé</v>
      </c>
      <c r="J837" t="str">
        <f>IFERROR(VLOOKUP(C837,'Registre maintenance'!B:F,5,FALSE),"Non trouvé")</f>
        <v>Non trouvé</v>
      </c>
      <c r="K837" t="str">
        <f t="shared" si="130"/>
        <v>Mismatch</v>
      </c>
    </row>
    <row r="838" spans="1:11" x14ac:dyDescent="0.3">
      <c r="A838" t="s">
        <v>1370</v>
      </c>
      <c r="B838" s="1">
        <v>45229.801388888889</v>
      </c>
      <c r="C838" t="s">
        <v>1006</v>
      </c>
      <c r="D838">
        <v>89</v>
      </c>
      <c r="E838" t="s">
        <v>792</v>
      </c>
      <c r="F838" s="4" t="str">
        <f t="shared" si="131"/>
        <v>Sud-Ubangi</v>
      </c>
      <c r="G838" s="4" t="str">
        <f>IFERROR(VLOOKUP(C838,'Registre maintenance'!B:F,2,FALSE),"Non trouvé")</f>
        <v>Non trouvé</v>
      </c>
      <c r="H838" t="str">
        <f>IFERROR(VLOOKUP(C838,'Registre maintenance'!B:F,3,FALSE),"Non trouvé")</f>
        <v>Non trouvé</v>
      </c>
      <c r="I838" t="str">
        <f>IFERROR(VLOOKUP(C838,'Registre maintenance'!B:F,4,FALSE),"Non trouvé")</f>
        <v>Non trouvé</v>
      </c>
      <c r="J838" t="str">
        <f>IFERROR(VLOOKUP(C838,'Registre maintenance'!B:F,5,FALSE),"Non trouvé")</f>
        <v>Non trouvé</v>
      </c>
      <c r="K838" t="str">
        <f t="shared" si="130"/>
        <v>Mismatch</v>
      </c>
    </row>
    <row r="839" spans="1:11" x14ac:dyDescent="0.3">
      <c r="A839" t="s">
        <v>1370</v>
      </c>
      <c r="B839" s="1">
        <v>45220.754166666673</v>
      </c>
      <c r="C839" t="s">
        <v>932</v>
      </c>
      <c r="D839">
        <v>85</v>
      </c>
      <c r="E839" t="s">
        <v>792</v>
      </c>
      <c r="F839" s="4" t="s">
        <v>135</v>
      </c>
      <c r="G839" s="4" t="str">
        <f>IFERROR(VLOOKUP(C839,'Registre maintenance'!B:F,2,FALSE),"Non trouvé")</f>
        <v>Lualaba</v>
      </c>
      <c r="H839">
        <f>IFERROR(VLOOKUP(C839,'Registre maintenance'!B:F,3,FALSE),"Non trouvé")</f>
        <v>-9.7803979999999999</v>
      </c>
      <c r="I839">
        <f>IFERROR(VLOOKUP(C839,'Registre maintenance'!B:F,4,FALSE),"Non trouvé")</f>
        <v>17.686595000000001</v>
      </c>
      <c r="J839" t="str">
        <f>IFERROR(VLOOKUP(C839,'Registre maintenance'!B:F,5,FALSE),"Non trouvé")</f>
        <v>4G</v>
      </c>
      <c r="K839" t="str">
        <f t="shared" si="130"/>
        <v>OK</v>
      </c>
    </row>
    <row r="840" spans="1:11" x14ac:dyDescent="0.3">
      <c r="A840" t="s">
        <v>1370</v>
      </c>
      <c r="B840" s="1">
        <v>45229.631249999999</v>
      </c>
      <c r="C840" t="s">
        <v>1375</v>
      </c>
      <c r="D840">
        <v>81</v>
      </c>
      <c r="E840" t="s">
        <v>792</v>
      </c>
      <c r="F840" s="4" t="s">
        <v>12</v>
      </c>
      <c r="G840" s="4" t="str">
        <f>IFERROR(VLOOKUP(C840,'Registre maintenance'!B:F,2,FALSE),"Non trouvé")</f>
        <v>Tshuapa</v>
      </c>
      <c r="H840">
        <f>IFERROR(VLOOKUP(C840,'Registre maintenance'!B:F,3,FALSE),"Non trouvé")</f>
        <v>-10.574821</v>
      </c>
      <c r="I840">
        <f>IFERROR(VLOOKUP(C840,'Registre maintenance'!B:F,4,FALSE),"Non trouvé")</f>
        <v>25.324966</v>
      </c>
      <c r="J840" t="str">
        <f>IFERROR(VLOOKUP(C840,'Registre maintenance'!B:F,5,FALSE),"Non trouvé")</f>
        <v>5G</v>
      </c>
      <c r="K840" t="str">
        <f t="shared" si="130"/>
        <v>OK</v>
      </c>
    </row>
    <row r="841" spans="1:11" x14ac:dyDescent="0.3">
      <c r="A841" t="s">
        <v>1370</v>
      </c>
      <c r="B841" s="1">
        <v>45210.961111111108</v>
      </c>
      <c r="C841" t="s">
        <v>957</v>
      </c>
      <c r="D841">
        <v>66</v>
      </c>
      <c r="E841" t="s">
        <v>792</v>
      </c>
      <c r="F841" s="4" t="s">
        <v>63</v>
      </c>
      <c r="G841" s="4" t="str">
        <f>IFERROR(VLOOKUP(C841,'Registre maintenance'!B:F,2,FALSE),"Non trouvé")</f>
        <v>Kinshasa</v>
      </c>
      <c r="H841">
        <f>IFERROR(VLOOKUP(C841,'Registre maintenance'!B:F,3,FALSE),"Non trouvé")</f>
        <v>-11.991020000000001</v>
      </c>
      <c r="I841">
        <f>IFERROR(VLOOKUP(C841,'Registre maintenance'!B:F,4,FALSE),"Non trouvé")</f>
        <v>22.514747</v>
      </c>
      <c r="J841" t="str">
        <f>IFERROR(VLOOKUP(C841,'Registre maintenance'!B:F,5,FALSE),"Non trouvé")</f>
        <v>5G</v>
      </c>
      <c r="K841" t="str">
        <f t="shared" si="130"/>
        <v>OK</v>
      </c>
    </row>
    <row r="842" spans="1:11" x14ac:dyDescent="0.3">
      <c r="A842" t="s">
        <v>1370</v>
      </c>
      <c r="B842" s="1">
        <v>45207.472222222219</v>
      </c>
      <c r="C842" t="s">
        <v>1376</v>
      </c>
      <c r="D842">
        <v>30</v>
      </c>
      <c r="E842" t="s">
        <v>797</v>
      </c>
      <c r="F842" s="4" t="str">
        <f t="shared" ref="F842:F843" si="132">F841</f>
        <v>Kinshasa</v>
      </c>
      <c r="G842" s="4" t="str">
        <f>IFERROR(VLOOKUP(C842,'Registre maintenance'!B:F,2,FALSE),"Non trouvé")</f>
        <v>Non trouvé</v>
      </c>
      <c r="H842" t="str">
        <f>IFERROR(VLOOKUP(C842,'Registre maintenance'!B:F,3,FALSE),"Non trouvé")</f>
        <v>Non trouvé</v>
      </c>
      <c r="I842" t="str">
        <f>IFERROR(VLOOKUP(C842,'Registre maintenance'!B:F,4,FALSE),"Non trouvé")</f>
        <v>Non trouvé</v>
      </c>
      <c r="J842" t="str">
        <f>IFERROR(VLOOKUP(C842,'Registre maintenance'!B:F,5,FALSE),"Non trouvé")</f>
        <v>Non trouvé</v>
      </c>
      <c r="K842" t="str">
        <f t="shared" si="130"/>
        <v>Mismatch</v>
      </c>
    </row>
    <row r="843" spans="1:11" x14ac:dyDescent="0.3">
      <c r="A843" t="s">
        <v>1370</v>
      </c>
      <c r="B843" s="1">
        <v>45205.87222222222</v>
      </c>
      <c r="C843" t="s">
        <v>1377</v>
      </c>
      <c r="D843">
        <v>17</v>
      </c>
      <c r="E843" t="s">
        <v>792</v>
      </c>
      <c r="F843" s="4" t="str">
        <f t="shared" si="132"/>
        <v>Kinshasa</v>
      </c>
      <c r="G843" s="4" t="str">
        <f>IFERROR(VLOOKUP(C843,'Registre maintenance'!B:F,2,FALSE),"Non trouvé")</f>
        <v>Non trouvé</v>
      </c>
      <c r="H843" t="str">
        <f>IFERROR(VLOOKUP(C843,'Registre maintenance'!B:F,3,FALSE),"Non trouvé")</f>
        <v>Non trouvé</v>
      </c>
      <c r="I843" t="str">
        <f>IFERROR(VLOOKUP(C843,'Registre maintenance'!B:F,4,FALSE),"Non trouvé")</f>
        <v>Non trouvé</v>
      </c>
      <c r="J843" t="str">
        <f>IFERROR(VLOOKUP(C843,'Registre maintenance'!B:F,5,FALSE),"Non trouvé")</f>
        <v>Non trouvé</v>
      </c>
      <c r="K843" t="str">
        <f t="shared" si="130"/>
        <v>Mismatch</v>
      </c>
    </row>
    <row r="844" spans="1:11" x14ac:dyDescent="0.3">
      <c r="A844" t="s">
        <v>1370</v>
      </c>
      <c r="B844" s="1">
        <v>45230.119444444441</v>
      </c>
      <c r="C844" t="s">
        <v>976</v>
      </c>
      <c r="D844">
        <v>8</v>
      </c>
      <c r="E844" t="s">
        <v>795</v>
      </c>
      <c r="F844" s="4" t="s">
        <v>135</v>
      </c>
      <c r="G844" s="4" t="str">
        <f>IFERROR(VLOOKUP(C844,'Registre maintenance'!B:F,2,FALSE),"Non trouvé")</f>
        <v>Lualaba</v>
      </c>
      <c r="H844">
        <f>IFERROR(VLOOKUP(C844,'Registre maintenance'!B:F,3,FALSE),"Non trouvé")</f>
        <v>-9.5243310000000001</v>
      </c>
      <c r="I844">
        <f>IFERROR(VLOOKUP(C844,'Registre maintenance'!B:F,4,FALSE),"Non trouvé")</f>
        <v>30.541212000000002</v>
      </c>
      <c r="J844" t="str">
        <f>IFERROR(VLOOKUP(C844,'Registre maintenance'!B:F,5,FALSE),"Non trouvé")</f>
        <v>3G</v>
      </c>
      <c r="K844" t="str">
        <f t="shared" si="130"/>
        <v>OK</v>
      </c>
    </row>
    <row r="845" spans="1:11" x14ac:dyDescent="0.3">
      <c r="A845" t="s">
        <v>1370</v>
      </c>
      <c r="B845" s="1">
        <v>45222.902777777781</v>
      </c>
      <c r="C845" t="s">
        <v>1027</v>
      </c>
      <c r="D845">
        <v>31</v>
      </c>
      <c r="E845" t="s">
        <v>797</v>
      </c>
      <c r="F845" s="4" t="str">
        <f>F844</f>
        <v>Lualaba</v>
      </c>
      <c r="G845" s="4" t="str">
        <f>IFERROR(VLOOKUP(C845,'Registre maintenance'!B:F,2,FALSE),"Non trouvé")</f>
        <v>Non trouvé</v>
      </c>
      <c r="H845" t="str">
        <f>IFERROR(VLOOKUP(C845,'Registre maintenance'!B:F,3,FALSE),"Non trouvé")</f>
        <v>Non trouvé</v>
      </c>
      <c r="I845" t="str">
        <f>IFERROR(VLOOKUP(C845,'Registre maintenance'!B:F,4,FALSE),"Non trouvé")</f>
        <v>Non trouvé</v>
      </c>
      <c r="J845" t="str">
        <f>IFERROR(VLOOKUP(C845,'Registre maintenance'!B:F,5,FALSE),"Non trouvé")</f>
        <v>Non trouvé</v>
      </c>
      <c r="K845" t="str">
        <f t="shared" si="130"/>
        <v>Mismatch</v>
      </c>
    </row>
    <row r="846" spans="1:11" x14ac:dyDescent="0.3">
      <c r="A846" t="s">
        <v>1370</v>
      </c>
      <c r="B846" s="1">
        <v>45223.436111111107</v>
      </c>
      <c r="C846" t="s">
        <v>982</v>
      </c>
      <c r="D846">
        <v>26</v>
      </c>
      <c r="E846" t="s">
        <v>792</v>
      </c>
      <c r="F846" s="4" t="s">
        <v>25</v>
      </c>
      <c r="G846" s="4" t="str">
        <f>IFERROR(VLOOKUP(C846,'Registre maintenance'!B:F,2,FALSE),"Non trouvé")</f>
        <v>Bas-Uele</v>
      </c>
      <c r="H846">
        <f>IFERROR(VLOOKUP(C846,'Registre maintenance'!B:F,3,FALSE),"Non trouvé")</f>
        <v>1.5278670000000001</v>
      </c>
      <c r="I846">
        <f>IFERROR(VLOOKUP(C846,'Registre maintenance'!B:F,4,FALSE),"Non trouvé")</f>
        <v>13.899388999999999</v>
      </c>
      <c r="J846" t="str">
        <f>IFERROR(VLOOKUP(C846,'Registre maintenance'!B:F,5,FALSE),"Non trouvé")</f>
        <v>3G</v>
      </c>
      <c r="K846" t="str">
        <f t="shared" si="130"/>
        <v>OK</v>
      </c>
    </row>
    <row r="847" spans="1:11" x14ac:dyDescent="0.3">
      <c r="A847" t="s">
        <v>1370</v>
      </c>
      <c r="B847" s="1">
        <v>45200.342361111107</v>
      </c>
      <c r="C847" t="s">
        <v>1074</v>
      </c>
      <c r="D847">
        <v>86</v>
      </c>
      <c r="E847" t="s">
        <v>795</v>
      </c>
      <c r="F847" s="4" t="s">
        <v>17</v>
      </c>
      <c r="G847" s="4" t="str">
        <f>IFERROR(VLOOKUP(C847,'Registre maintenance'!B:F,2,FALSE),"Non trouvé")</f>
        <v>Haut-Lomami</v>
      </c>
      <c r="H847">
        <f>IFERROR(VLOOKUP(C847,'Registre maintenance'!B:F,3,FALSE),"Non trouvé")</f>
        <v>2.628638</v>
      </c>
      <c r="I847">
        <f>IFERROR(VLOOKUP(C847,'Registre maintenance'!B:F,4,FALSE),"Non trouvé")</f>
        <v>28.420582</v>
      </c>
      <c r="J847" t="str">
        <f>IFERROR(VLOOKUP(C847,'Registre maintenance'!B:F,5,FALSE),"Non trouvé")</f>
        <v>4G</v>
      </c>
      <c r="K847" t="str">
        <f t="shared" si="130"/>
        <v>OK</v>
      </c>
    </row>
    <row r="848" spans="1:11" x14ac:dyDescent="0.3">
      <c r="A848" t="s">
        <v>1370</v>
      </c>
      <c r="B848" s="1">
        <v>45207.919444444437</v>
      </c>
      <c r="C848" t="s">
        <v>1378</v>
      </c>
      <c r="D848">
        <v>42</v>
      </c>
      <c r="E848" t="s">
        <v>792</v>
      </c>
      <c r="F848" s="4" t="str">
        <f t="shared" ref="F848:F853" si="133">F847</f>
        <v>Haut-Lomami</v>
      </c>
      <c r="G848" s="4" t="str">
        <f>IFERROR(VLOOKUP(C848,'Registre maintenance'!B:F,2,FALSE),"Non trouvé")</f>
        <v>Non trouvé</v>
      </c>
      <c r="H848" t="str">
        <f>IFERROR(VLOOKUP(C848,'Registre maintenance'!B:F,3,FALSE),"Non trouvé")</f>
        <v>Non trouvé</v>
      </c>
      <c r="I848" t="str">
        <f>IFERROR(VLOOKUP(C848,'Registre maintenance'!B:F,4,FALSE),"Non trouvé")</f>
        <v>Non trouvé</v>
      </c>
      <c r="J848" t="str">
        <f>IFERROR(VLOOKUP(C848,'Registre maintenance'!B:F,5,FALSE),"Non trouvé")</f>
        <v>Non trouvé</v>
      </c>
      <c r="K848" t="str">
        <f t="shared" si="130"/>
        <v>Mismatch</v>
      </c>
    </row>
    <row r="849" spans="1:11" x14ac:dyDescent="0.3">
      <c r="A849" t="s">
        <v>1370</v>
      </c>
      <c r="B849" s="1">
        <v>45211.368055555547</v>
      </c>
      <c r="C849" t="s">
        <v>956</v>
      </c>
      <c r="D849">
        <v>15</v>
      </c>
      <c r="E849" t="s">
        <v>795</v>
      </c>
      <c r="F849" s="4" t="str">
        <f t="shared" si="133"/>
        <v>Haut-Lomami</v>
      </c>
      <c r="G849" s="4" t="str">
        <f>IFERROR(VLOOKUP(C849,'Registre maintenance'!B:F,2,FALSE),"Non trouvé")</f>
        <v>Non trouvé</v>
      </c>
      <c r="H849" t="str">
        <f>IFERROR(VLOOKUP(C849,'Registre maintenance'!B:F,3,FALSE),"Non trouvé")</f>
        <v>Non trouvé</v>
      </c>
      <c r="I849" t="str">
        <f>IFERROR(VLOOKUP(C849,'Registre maintenance'!B:F,4,FALSE),"Non trouvé")</f>
        <v>Non trouvé</v>
      </c>
      <c r="J849" t="str">
        <f>IFERROR(VLOOKUP(C849,'Registre maintenance'!B:F,5,FALSE),"Non trouvé")</f>
        <v>Non trouvé</v>
      </c>
      <c r="K849" t="str">
        <f t="shared" si="130"/>
        <v>Mismatch</v>
      </c>
    </row>
    <row r="850" spans="1:11" x14ac:dyDescent="0.3">
      <c r="A850" t="s">
        <v>1370</v>
      </c>
      <c r="B850" s="1">
        <v>45203.958333333343</v>
      </c>
      <c r="C850" t="s">
        <v>1379</v>
      </c>
      <c r="D850">
        <v>65</v>
      </c>
      <c r="E850" t="s">
        <v>797</v>
      </c>
      <c r="F850" s="4" t="str">
        <f t="shared" si="133"/>
        <v>Haut-Lomami</v>
      </c>
      <c r="G850" s="4" t="str">
        <f>IFERROR(VLOOKUP(C850,'Registre maintenance'!B:F,2,FALSE),"Non trouvé")</f>
        <v>Non trouvé</v>
      </c>
      <c r="H850" t="str">
        <f>IFERROR(VLOOKUP(C850,'Registre maintenance'!B:F,3,FALSE),"Non trouvé")</f>
        <v>Non trouvé</v>
      </c>
      <c r="I850" t="str">
        <f>IFERROR(VLOOKUP(C850,'Registre maintenance'!B:F,4,FALSE),"Non trouvé")</f>
        <v>Non trouvé</v>
      </c>
      <c r="J850" t="str">
        <f>IFERROR(VLOOKUP(C850,'Registre maintenance'!B:F,5,FALSE),"Non trouvé")</f>
        <v>Non trouvé</v>
      </c>
      <c r="K850" t="str">
        <f t="shared" si="130"/>
        <v>Mismatch</v>
      </c>
    </row>
    <row r="851" spans="1:11" x14ac:dyDescent="0.3">
      <c r="A851" t="s">
        <v>1370</v>
      </c>
      <c r="B851" s="1">
        <v>45201.519444444442</v>
      </c>
      <c r="C851" t="s">
        <v>909</v>
      </c>
      <c r="D851">
        <v>113</v>
      </c>
      <c r="E851" t="s">
        <v>797</v>
      </c>
      <c r="F851" s="4" t="str">
        <f t="shared" si="133"/>
        <v>Haut-Lomami</v>
      </c>
      <c r="G851" s="4" t="str">
        <f>IFERROR(VLOOKUP(C851,'Registre maintenance'!B:F,2,FALSE),"Non trouvé")</f>
        <v>Non trouvé</v>
      </c>
      <c r="H851" t="str">
        <f>IFERROR(VLOOKUP(C851,'Registre maintenance'!B:F,3,FALSE),"Non trouvé")</f>
        <v>Non trouvé</v>
      </c>
      <c r="I851" t="str">
        <f>IFERROR(VLOOKUP(C851,'Registre maintenance'!B:F,4,FALSE),"Non trouvé")</f>
        <v>Non trouvé</v>
      </c>
      <c r="J851" t="str">
        <f>IFERROR(VLOOKUP(C851,'Registre maintenance'!B:F,5,FALSE),"Non trouvé")</f>
        <v>Non trouvé</v>
      </c>
      <c r="K851" t="str">
        <f t="shared" si="130"/>
        <v>Mismatch</v>
      </c>
    </row>
    <row r="852" spans="1:11" x14ac:dyDescent="0.3">
      <c r="A852" t="s">
        <v>1370</v>
      </c>
      <c r="B852" s="1">
        <v>45223.548611111109</v>
      </c>
      <c r="C852" t="s">
        <v>1321</v>
      </c>
      <c r="D852">
        <v>19</v>
      </c>
      <c r="E852" t="s">
        <v>795</v>
      </c>
      <c r="F852" s="4" t="str">
        <f t="shared" si="133"/>
        <v>Haut-Lomami</v>
      </c>
      <c r="G852" s="4" t="str">
        <f>IFERROR(VLOOKUP(C852,'Registre maintenance'!B:F,2,FALSE),"Non trouvé")</f>
        <v>Non trouvé</v>
      </c>
      <c r="H852" t="str">
        <f>IFERROR(VLOOKUP(C852,'Registre maintenance'!B:F,3,FALSE),"Non trouvé")</f>
        <v>Non trouvé</v>
      </c>
      <c r="I852" t="str">
        <f>IFERROR(VLOOKUP(C852,'Registre maintenance'!B:F,4,FALSE),"Non trouvé")</f>
        <v>Non trouvé</v>
      </c>
      <c r="J852" t="str">
        <f>IFERROR(VLOOKUP(C852,'Registre maintenance'!B:F,5,FALSE),"Non trouvé")</f>
        <v>Non trouvé</v>
      </c>
      <c r="K852" t="str">
        <f t="shared" si="130"/>
        <v>Mismatch</v>
      </c>
    </row>
    <row r="853" spans="1:11" x14ac:dyDescent="0.3">
      <c r="A853" t="s">
        <v>1370</v>
      </c>
      <c r="B853" s="1">
        <v>45228.563194444447</v>
      </c>
      <c r="C853" t="s">
        <v>1276</v>
      </c>
      <c r="D853">
        <v>44</v>
      </c>
      <c r="E853" t="s">
        <v>792</v>
      </c>
      <c r="F853" s="4" t="str">
        <f t="shared" si="133"/>
        <v>Haut-Lomami</v>
      </c>
      <c r="G853" s="4" t="str">
        <f>IFERROR(VLOOKUP(C853,'Registre maintenance'!B:F,2,FALSE),"Non trouvé")</f>
        <v>Non trouvé</v>
      </c>
      <c r="H853" t="str">
        <f>IFERROR(VLOOKUP(C853,'Registre maintenance'!B:F,3,FALSE),"Non trouvé")</f>
        <v>Non trouvé</v>
      </c>
      <c r="I853" t="str">
        <f>IFERROR(VLOOKUP(C853,'Registre maintenance'!B:F,4,FALSE),"Non trouvé")</f>
        <v>Non trouvé</v>
      </c>
      <c r="J853" t="str">
        <f>IFERROR(VLOOKUP(C853,'Registre maintenance'!B:F,5,FALSE),"Non trouvé")</f>
        <v>Non trouvé</v>
      </c>
      <c r="K853" t="str">
        <f t="shared" si="130"/>
        <v>Mismatch</v>
      </c>
    </row>
    <row r="854" spans="1:11" x14ac:dyDescent="0.3">
      <c r="A854" t="s">
        <v>1370</v>
      </c>
      <c r="B854" s="1">
        <v>45228.515277777777</v>
      </c>
      <c r="C854" t="s">
        <v>1380</v>
      </c>
      <c r="D854">
        <v>105</v>
      </c>
      <c r="E854" t="s">
        <v>792</v>
      </c>
      <c r="F854" s="4" t="s">
        <v>72</v>
      </c>
      <c r="G854" s="4" t="str">
        <f>IFERROR(VLOOKUP(C854,'Registre maintenance'!B:F,2,FALSE),"Non trouvé")</f>
        <v>Tshopo</v>
      </c>
      <c r="H854">
        <f>IFERROR(VLOOKUP(C854,'Registre maintenance'!B:F,3,FALSE),"Non trouvé")</f>
        <v>-0.919767</v>
      </c>
      <c r="I854">
        <f>IFERROR(VLOOKUP(C854,'Registre maintenance'!B:F,4,FALSE),"Non trouvé")</f>
        <v>18.905538</v>
      </c>
      <c r="J854" t="str">
        <f>IFERROR(VLOOKUP(C854,'Registre maintenance'!B:F,5,FALSE),"Non trouvé")</f>
        <v>5G</v>
      </c>
      <c r="K854" t="str">
        <f t="shared" si="130"/>
        <v>OK</v>
      </c>
    </row>
    <row r="855" spans="1:11" x14ac:dyDescent="0.3">
      <c r="A855" t="s">
        <v>1370</v>
      </c>
      <c r="B855" s="1">
        <v>45217.504166666673</v>
      </c>
      <c r="C855" t="s">
        <v>1100</v>
      </c>
      <c r="D855">
        <v>55</v>
      </c>
      <c r="E855" t="s">
        <v>797</v>
      </c>
      <c r="F855" s="4" t="str">
        <f>F854</f>
        <v>Tshopo</v>
      </c>
      <c r="G855" s="4" t="str">
        <f>IFERROR(VLOOKUP(C855,'Registre maintenance'!B:F,2,FALSE),"Non trouvé")</f>
        <v>Non trouvé</v>
      </c>
      <c r="H855" t="str">
        <f>IFERROR(VLOOKUP(C855,'Registre maintenance'!B:F,3,FALSE),"Non trouvé")</f>
        <v>Non trouvé</v>
      </c>
      <c r="I855" t="str">
        <f>IFERROR(VLOOKUP(C855,'Registre maintenance'!B:F,4,FALSE),"Non trouvé")</f>
        <v>Non trouvé</v>
      </c>
      <c r="J855" t="str">
        <f>IFERROR(VLOOKUP(C855,'Registre maintenance'!B:F,5,FALSE),"Non trouvé")</f>
        <v>Non trouvé</v>
      </c>
      <c r="K855" t="str">
        <f t="shared" si="130"/>
        <v>Mismatch</v>
      </c>
    </row>
    <row r="856" spans="1:11" x14ac:dyDescent="0.3">
      <c r="A856" t="s">
        <v>1370</v>
      </c>
      <c r="B856" s="1">
        <v>45226.659722222219</v>
      </c>
      <c r="C856" t="s">
        <v>1085</v>
      </c>
      <c r="D856">
        <v>65</v>
      </c>
      <c r="E856" t="s">
        <v>795</v>
      </c>
      <c r="F856" s="4" t="s">
        <v>23</v>
      </c>
      <c r="G856" s="4" t="str">
        <f>IFERROR(VLOOKUP(C856,'Registre maintenance'!B:F,2,FALSE),"Non trouvé")</f>
        <v>Haut-Katanga</v>
      </c>
      <c r="H856">
        <f>IFERROR(VLOOKUP(C856,'Registre maintenance'!B:F,3,FALSE),"Non trouvé")</f>
        <v>-11.594525000000001</v>
      </c>
      <c r="I856">
        <f>IFERROR(VLOOKUP(C856,'Registre maintenance'!B:F,4,FALSE),"Non trouvé")</f>
        <v>29.744895</v>
      </c>
      <c r="J856" t="str">
        <f>IFERROR(VLOOKUP(C856,'Registre maintenance'!B:F,5,FALSE),"Non trouvé")</f>
        <v>3G</v>
      </c>
      <c r="K856" t="str">
        <f t="shared" si="130"/>
        <v>OK</v>
      </c>
    </row>
    <row r="857" spans="1:11" x14ac:dyDescent="0.3">
      <c r="A857" t="s">
        <v>1370</v>
      </c>
      <c r="B857" s="1">
        <v>45227.77847222222</v>
      </c>
      <c r="C857" t="s">
        <v>1232</v>
      </c>
      <c r="D857">
        <v>67</v>
      </c>
      <c r="E857" t="s">
        <v>797</v>
      </c>
      <c r="F857" s="4" t="s">
        <v>43</v>
      </c>
      <c r="G857" s="4" t="str">
        <f>IFERROR(VLOOKUP(C857,'Registre maintenance'!B:F,2,FALSE),"Non trouvé")</f>
        <v>Mai-Ndombe</v>
      </c>
      <c r="H857">
        <f>IFERROR(VLOOKUP(C857,'Registre maintenance'!B:F,3,FALSE),"Non trouvé")</f>
        <v>-0.47411900000000001</v>
      </c>
      <c r="I857">
        <f>IFERROR(VLOOKUP(C857,'Registre maintenance'!B:F,4,FALSE),"Non trouvé")</f>
        <v>27.184329000000002</v>
      </c>
      <c r="J857" t="str">
        <f>IFERROR(VLOOKUP(C857,'Registre maintenance'!B:F,5,FALSE),"Non trouvé")</f>
        <v>5G</v>
      </c>
      <c r="K857" t="str">
        <f t="shared" si="130"/>
        <v>OK</v>
      </c>
    </row>
    <row r="858" spans="1:11" x14ac:dyDescent="0.3">
      <c r="A858" t="s">
        <v>1370</v>
      </c>
      <c r="B858" s="1">
        <v>45224.884722222218</v>
      </c>
      <c r="C858" t="s">
        <v>1381</v>
      </c>
      <c r="D858">
        <v>119</v>
      </c>
      <c r="E858" t="s">
        <v>795</v>
      </c>
      <c r="F858" s="4" t="str">
        <f t="shared" ref="F858:F859" si="134">F857</f>
        <v>Mai-Ndombe</v>
      </c>
      <c r="G858" s="4" t="str">
        <f>IFERROR(VLOOKUP(C858,'Registre maintenance'!B:F,2,FALSE),"Non trouvé")</f>
        <v>Non trouvé</v>
      </c>
      <c r="H858" t="str">
        <f>IFERROR(VLOOKUP(C858,'Registre maintenance'!B:F,3,FALSE),"Non trouvé")</f>
        <v>Non trouvé</v>
      </c>
      <c r="I858" t="str">
        <f>IFERROR(VLOOKUP(C858,'Registre maintenance'!B:F,4,FALSE),"Non trouvé")</f>
        <v>Non trouvé</v>
      </c>
      <c r="J858" t="str">
        <f>IFERROR(VLOOKUP(C858,'Registre maintenance'!B:F,5,FALSE),"Non trouvé")</f>
        <v>Non trouvé</v>
      </c>
      <c r="K858" t="str">
        <f t="shared" si="130"/>
        <v>Mismatch</v>
      </c>
    </row>
    <row r="859" spans="1:11" x14ac:dyDescent="0.3">
      <c r="A859" t="s">
        <v>1370</v>
      </c>
      <c r="B859" s="1">
        <v>45205.586111111108</v>
      </c>
      <c r="C859" t="s">
        <v>1382</v>
      </c>
      <c r="D859">
        <v>89</v>
      </c>
      <c r="E859" t="s">
        <v>797</v>
      </c>
      <c r="F859" s="4" t="str">
        <f t="shared" si="134"/>
        <v>Mai-Ndombe</v>
      </c>
      <c r="G859" s="4" t="str">
        <f>IFERROR(VLOOKUP(C859,'Registre maintenance'!B:F,2,FALSE),"Non trouvé")</f>
        <v>Non trouvé</v>
      </c>
      <c r="H859" t="str">
        <f>IFERROR(VLOOKUP(C859,'Registre maintenance'!B:F,3,FALSE),"Non trouvé")</f>
        <v>Non trouvé</v>
      </c>
      <c r="I859" t="str">
        <f>IFERROR(VLOOKUP(C859,'Registre maintenance'!B:F,4,FALSE),"Non trouvé")</f>
        <v>Non trouvé</v>
      </c>
      <c r="J859" t="str">
        <f>IFERROR(VLOOKUP(C859,'Registre maintenance'!B:F,5,FALSE),"Non trouvé")</f>
        <v>Non trouvé</v>
      </c>
      <c r="K859" t="str">
        <f t="shared" si="130"/>
        <v>Mismatch</v>
      </c>
    </row>
    <row r="860" spans="1:11" x14ac:dyDescent="0.3">
      <c r="A860" t="s">
        <v>1370</v>
      </c>
      <c r="B860" s="1">
        <v>45225.054166666669</v>
      </c>
      <c r="C860" t="s">
        <v>1383</v>
      </c>
      <c r="D860">
        <v>38</v>
      </c>
      <c r="E860" t="s">
        <v>797</v>
      </c>
      <c r="F860" s="4" t="s">
        <v>135</v>
      </c>
      <c r="G860" s="4" t="str">
        <f>IFERROR(VLOOKUP(C860,'Registre maintenance'!B:F,2,FALSE),"Non trouvé")</f>
        <v>Lualaba</v>
      </c>
      <c r="H860">
        <f>IFERROR(VLOOKUP(C860,'Registre maintenance'!B:F,3,FALSE),"Non trouvé")</f>
        <v>-4.2184999999999997</v>
      </c>
      <c r="I860">
        <f>IFERROR(VLOOKUP(C860,'Registre maintenance'!B:F,4,FALSE),"Non trouvé")</f>
        <v>23.077093999999999</v>
      </c>
      <c r="J860" t="str">
        <f>IFERROR(VLOOKUP(C860,'Registre maintenance'!B:F,5,FALSE),"Non trouvé")</f>
        <v>4G</v>
      </c>
      <c r="K860" t="str">
        <f t="shared" si="130"/>
        <v>OK</v>
      </c>
    </row>
    <row r="861" spans="1:11" x14ac:dyDescent="0.3">
      <c r="A861" t="s">
        <v>1370</v>
      </c>
      <c r="B861" s="1">
        <v>45200.427777777782</v>
      </c>
      <c r="C861" t="s">
        <v>904</v>
      </c>
      <c r="D861">
        <v>16</v>
      </c>
      <c r="E861" t="s">
        <v>795</v>
      </c>
      <c r="F861" s="4" t="str">
        <f>F860</f>
        <v>Lualaba</v>
      </c>
      <c r="G861" s="4" t="str">
        <f>IFERROR(VLOOKUP(C861,'Registre maintenance'!B:F,2,FALSE),"Non trouvé")</f>
        <v>Non trouvé</v>
      </c>
      <c r="H861" t="str">
        <f>IFERROR(VLOOKUP(C861,'Registre maintenance'!B:F,3,FALSE),"Non trouvé")</f>
        <v>Non trouvé</v>
      </c>
      <c r="I861" t="str">
        <f>IFERROR(VLOOKUP(C861,'Registre maintenance'!B:F,4,FALSE),"Non trouvé")</f>
        <v>Non trouvé</v>
      </c>
      <c r="J861" t="str">
        <f>IFERROR(VLOOKUP(C861,'Registre maintenance'!B:F,5,FALSE),"Non trouvé")</f>
        <v>Non trouvé</v>
      </c>
      <c r="K861" t="str">
        <f t="shared" si="130"/>
        <v>Mismatch</v>
      </c>
    </row>
    <row r="862" spans="1:11" x14ac:dyDescent="0.3">
      <c r="A862" t="s">
        <v>1370</v>
      </c>
      <c r="B862" s="1">
        <v>45230.12777777778</v>
      </c>
      <c r="C862" t="s">
        <v>1289</v>
      </c>
      <c r="D862">
        <v>87</v>
      </c>
      <c r="E862" t="s">
        <v>797</v>
      </c>
      <c r="F862" s="4" t="s">
        <v>23</v>
      </c>
      <c r="G862" s="4" t="str">
        <f>IFERROR(VLOOKUP(C862,'Registre maintenance'!B:F,2,FALSE),"Non trouvé")</f>
        <v>Haut-Katanga</v>
      </c>
      <c r="H862">
        <f>IFERROR(VLOOKUP(C862,'Registre maintenance'!B:F,3,FALSE),"Non trouvé")</f>
        <v>-10.945031</v>
      </c>
      <c r="I862">
        <f>IFERROR(VLOOKUP(C862,'Registre maintenance'!B:F,4,FALSE),"Non trouvé")</f>
        <v>27.922274000000002</v>
      </c>
      <c r="J862" t="str">
        <f>IFERROR(VLOOKUP(C862,'Registre maintenance'!B:F,5,FALSE),"Non trouvé")</f>
        <v>4G</v>
      </c>
      <c r="K862" t="str">
        <f t="shared" si="130"/>
        <v>OK</v>
      </c>
    </row>
    <row r="863" spans="1:11" x14ac:dyDescent="0.3">
      <c r="A863" t="s">
        <v>1370</v>
      </c>
      <c r="B863" s="1">
        <v>45210.24722222222</v>
      </c>
      <c r="C863" t="s">
        <v>1362</v>
      </c>
      <c r="D863">
        <v>74</v>
      </c>
      <c r="E863" t="s">
        <v>792</v>
      </c>
      <c r="F863" s="4" t="str">
        <f t="shared" ref="F863:F864" si="135">F862</f>
        <v>Haut-Katanga</v>
      </c>
      <c r="G863" s="4" t="str">
        <f>IFERROR(VLOOKUP(C863,'Registre maintenance'!B:F,2,FALSE),"Non trouvé")</f>
        <v>Non trouvé</v>
      </c>
      <c r="H863" t="str">
        <f>IFERROR(VLOOKUP(C863,'Registre maintenance'!B:F,3,FALSE),"Non trouvé")</f>
        <v>Non trouvé</v>
      </c>
      <c r="I863" t="str">
        <f>IFERROR(VLOOKUP(C863,'Registre maintenance'!B:F,4,FALSE),"Non trouvé")</f>
        <v>Non trouvé</v>
      </c>
      <c r="J863" t="str">
        <f>IFERROR(VLOOKUP(C863,'Registre maintenance'!B:F,5,FALSE),"Non trouvé")</f>
        <v>Non trouvé</v>
      </c>
      <c r="K863" t="str">
        <f t="shared" si="130"/>
        <v>Mismatch</v>
      </c>
    </row>
    <row r="864" spans="1:11" x14ac:dyDescent="0.3">
      <c r="A864" t="s">
        <v>1370</v>
      </c>
      <c r="B864" s="1">
        <v>45212.240277777782</v>
      </c>
      <c r="C864" t="s">
        <v>1145</v>
      </c>
      <c r="D864">
        <v>54</v>
      </c>
      <c r="E864" t="s">
        <v>795</v>
      </c>
      <c r="F864" s="4" t="str">
        <f t="shared" si="135"/>
        <v>Haut-Katanga</v>
      </c>
      <c r="G864" s="4" t="str">
        <f>IFERROR(VLOOKUP(C864,'Registre maintenance'!B:F,2,FALSE),"Non trouvé")</f>
        <v>Non trouvé</v>
      </c>
      <c r="H864" t="str">
        <f>IFERROR(VLOOKUP(C864,'Registre maintenance'!B:F,3,FALSE),"Non trouvé")</f>
        <v>Non trouvé</v>
      </c>
      <c r="I864" t="str">
        <f>IFERROR(VLOOKUP(C864,'Registre maintenance'!B:F,4,FALSE),"Non trouvé")</f>
        <v>Non trouvé</v>
      </c>
      <c r="J864" t="str">
        <f>IFERROR(VLOOKUP(C864,'Registre maintenance'!B:F,5,FALSE),"Non trouvé")</f>
        <v>Non trouvé</v>
      </c>
      <c r="K864" t="str">
        <f t="shared" si="130"/>
        <v>Mismatch</v>
      </c>
    </row>
    <row r="865" spans="1:11" x14ac:dyDescent="0.3">
      <c r="A865" t="s">
        <v>1370</v>
      </c>
      <c r="B865" s="1">
        <v>45202.747916666667</v>
      </c>
      <c r="C865" t="s">
        <v>938</v>
      </c>
      <c r="D865">
        <v>28</v>
      </c>
      <c r="E865" t="s">
        <v>795</v>
      </c>
      <c r="F865" s="4" t="s">
        <v>32</v>
      </c>
      <c r="G865" s="4" t="str">
        <f>IFERROR(VLOOKUP(C865,'Registre maintenance'!B:F,2,FALSE),"Non trouvé")</f>
        <v>Kasai-Central</v>
      </c>
      <c r="H865">
        <f>IFERROR(VLOOKUP(C865,'Registre maintenance'!B:F,3,FALSE),"Non trouvé")</f>
        <v>-3.111418</v>
      </c>
      <c r="I865">
        <f>IFERROR(VLOOKUP(C865,'Registre maintenance'!B:F,4,FALSE),"Non trouvé")</f>
        <v>14.144854</v>
      </c>
      <c r="J865" t="str">
        <f>IFERROR(VLOOKUP(C865,'Registre maintenance'!B:F,5,FALSE),"Non trouvé")</f>
        <v>4G</v>
      </c>
      <c r="K865" t="str">
        <f t="shared" si="130"/>
        <v>OK</v>
      </c>
    </row>
    <row r="866" spans="1:11" x14ac:dyDescent="0.3">
      <c r="A866" t="s">
        <v>1370</v>
      </c>
      <c r="B866" s="1">
        <v>45202.443055555559</v>
      </c>
      <c r="C866" t="s">
        <v>1384</v>
      </c>
      <c r="D866">
        <v>52</v>
      </c>
      <c r="E866" t="s">
        <v>795</v>
      </c>
      <c r="F866" s="4" t="str">
        <f t="shared" ref="F866:F867" si="136">F865</f>
        <v>Kasai-Central</v>
      </c>
      <c r="G866" s="4" t="str">
        <f>IFERROR(VLOOKUP(C866,'Registre maintenance'!B:F,2,FALSE),"Non trouvé")</f>
        <v>Non trouvé</v>
      </c>
      <c r="H866" t="str">
        <f>IFERROR(VLOOKUP(C866,'Registre maintenance'!B:F,3,FALSE),"Non trouvé")</f>
        <v>Non trouvé</v>
      </c>
      <c r="I866" t="str">
        <f>IFERROR(VLOOKUP(C866,'Registre maintenance'!B:F,4,FALSE),"Non trouvé")</f>
        <v>Non trouvé</v>
      </c>
      <c r="J866" t="str">
        <f>IFERROR(VLOOKUP(C866,'Registre maintenance'!B:F,5,FALSE),"Non trouvé")</f>
        <v>Non trouvé</v>
      </c>
      <c r="K866" t="str">
        <f t="shared" si="130"/>
        <v>Mismatch</v>
      </c>
    </row>
    <row r="867" spans="1:11" x14ac:dyDescent="0.3">
      <c r="A867" t="s">
        <v>1370</v>
      </c>
      <c r="B867" s="1">
        <v>45219.65625</v>
      </c>
      <c r="C867" t="s">
        <v>1077</v>
      </c>
      <c r="D867">
        <v>118</v>
      </c>
      <c r="E867" t="s">
        <v>795</v>
      </c>
      <c r="F867" s="4" t="str">
        <f t="shared" si="136"/>
        <v>Kasai-Central</v>
      </c>
      <c r="G867" s="4" t="str">
        <f>IFERROR(VLOOKUP(C867,'Registre maintenance'!B:F,2,FALSE),"Non trouvé")</f>
        <v>Non trouvé</v>
      </c>
      <c r="H867" t="str">
        <f>IFERROR(VLOOKUP(C867,'Registre maintenance'!B:F,3,FALSE),"Non trouvé")</f>
        <v>Non trouvé</v>
      </c>
      <c r="I867" t="str">
        <f>IFERROR(VLOOKUP(C867,'Registre maintenance'!B:F,4,FALSE),"Non trouvé")</f>
        <v>Non trouvé</v>
      </c>
      <c r="J867" t="str">
        <f>IFERROR(VLOOKUP(C867,'Registre maintenance'!B:F,5,FALSE),"Non trouvé")</f>
        <v>Non trouvé</v>
      </c>
      <c r="K867" t="str">
        <f t="shared" si="130"/>
        <v>Mismatch</v>
      </c>
    </row>
    <row r="868" spans="1:11" x14ac:dyDescent="0.3">
      <c r="A868" t="s">
        <v>1370</v>
      </c>
      <c r="B868" s="1">
        <v>45200.570138888892</v>
      </c>
      <c r="C868" t="s">
        <v>1385</v>
      </c>
      <c r="D868">
        <v>53</v>
      </c>
      <c r="E868" t="s">
        <v>797</v>
      </c>
      <c r="F868" s="4" t="s">
        <v>61</v>
      </c>
      <c r="G868" s="4" t="str">
        <f>IFERROR(VLOOKUP(C868,'Registre maintenance'!B:F,2,FALSE),"Non trouvé")</f>
        <v>Kongo-Central</v>
      </c>
      <c r="H868">
        <f>IFERROR(VLOOKUP(C868,'Registre maintenance'!B:F,3,FALSE),"Non trouvé")</f>
        <v>2.8552499999999998</v>
      </c>
      <c r="I868">
        <f>IFERROR(VLOOKUP(C868,'Registre maintenance'!B:F,4,FALSE),"Non trouvé")</f>
        <v>14.077933</v>
      </c>
      <c r="J868" t="str">
        <f>IFERROR(VLOOKUP(C868,'Registre maintenance'!B:F,5,FALSE),"Non trouvé")</f>
        <v>4G</v>
      </c>
      <c r="K868" t="str">
        <f t="shared" si="130"/>
        <v>OK</v>
      </c>
    </row>
    <row r="869" spans="1:11" x14ac:dyDescent="0.3">
      <c r="A869" t="s">
        <v>1370</v>
      </c>
      <c r="B869" s="1">
        <v>45205.830555555563</v>
      </c>
      <c r="C869" t="s">
        <v>1386</v>
      </c>
      <c r="D869">
        <v>52</v>
      </c>
      <c r="E869" t="s">
        <v>792</v>
      </c>
      <c r="F869" s="4" t="str">
        <f t="shared" ref="F869:F872" si="137">F868</f>
        <v>Kongo-Central</v>
      </c>
      <c r="G869" s="4" t="str">
        <f>IFERROR(VLOOKUP(C869,'Registre maintenance'!B:F,2,FALSE),"Non trouvé")</f>
        <v>Non trouvé</v>
      </c>
      <c r="H869" t="str">
        <f>IFERROR(VLOOKUP(C869,'Registre maintenance'!B:F,3,FALSE),"Non trouvé")</f>
        <v>Non trouvé</v>
      </c>
      <c r="I869" t="str">
        <f>IFERROR(VLOOKUP(C869,'Registre maintenance'!B:F,4,FALSE),"Non trouvé")</f>
        <v>Non trouvé</v>
      </c>
      <c r="J869" t="str">
        <f>IFERROR(VLOOKUP(C869,'Registre maintenance'!B:F,5,FALSE),"Non trouvé")</f>
        <v>Non trouvé</v>
      </c>
      <c r="K869" t="str">
        <f t="shared" si="130"/>
        <v>Mismatch</v>
      </c>
    </row>
    <row r="870" spans="1:11" x14ac:dyDescent="0.3">
      <c r="A870" t="s">
        <v>1370</v>
      </c>
      <c r="B870" s="1">
        <v>45213.210416666669</v>
      </c>
      <c r="C870" t="s">
        <v>1387</v>
      </c>
      <c r="D870">
        <v>28</v>
      </c>
      <c r="E870" t="s">
        <v>797</v>
      </c>
      <c r="F870" s="4" t="str">
        <f t="shared" si="137"/>
        <v>Kongo-Central</v>
      </c>
      <c r="G870" s="4" t="str">
        <f>IFERROR(VLOOKUP(C870,'Registre maintenance'!B:F,2,FALSE),"Non trouvé")</f>
        <v>Non trouvé</v>
      </c>
      <c r="H870" t="str">
        <f>IFERROR(VLOOKUP(C870,'Registre maintenance'!B:F,3,FALSE),"Non trouvé")</f>
        <v>Non trouvé</v>
      </c>
      <c r="I870" t="str">
        <f>IFERROR(VLOOKUP(C870,'Registre maintenance'!B:F,4,FALSE),"Non trouvé")</f>
        <v>Non trouvé</v>
      </c>
      <c r="J870" t="str">
        <f>IFERROR(VLOOKUP(C870,'Registre maintenance'!B:F,5,FALSE),"Non trouvé")</f>
        <v>Non trouvé</v>
      </c>
      <c r="K870" t="str">
        <f t="shared" si="130"/>
        <v>Mismatch</v>
      </c>
    </row>
    <row r="871" spans="1:11" x14ac:dyDescent="0.3">
      <c r="A871" t="s">
        <v>1370</v>
      </c>
      <c r="B871" s="1">
        <v>45203.425694444442</v>
      </c>
      <c r="C871" t="s">
        <v>1388</v>
      </c>
      <c r="D871">
        <v>62</v>
      </c>
      <c r="E871" t="s">
        <v>792</v>
      </c>
      <c r="F871" s="4" t="str">
        <f t="shared" si="137"/>
        <v>Kongo-Central</v>
      </c>
      <c r="G871" s="4" t="str">
        <f>IFERROR(VLOOKUP(C871,'Registre maintenance'!B:F,2,FALSE),"Non trouvé")</f>
        <v>Non trouvé</v>
      </c>
      <c r="H871" t="str">
        <f>IFERROR(VLOOKUP(C871,'Registre maintenance'!B:F,3,FALSE),"Non trouvé")</f>
        <v>Non trouvé</v>
      </c>
      <c r="I871" t="str">
        <f>IFERROR(VLOOKUP(C871,'Registre maintenance'!B:F,4,FALSE),"Non trouvé")</f>
        <v>Non trouvé</v>
      </c>
      <c r="J871" t="str">
        <f>IFERROR(VLOOKUP(C871,'Registre maintenance'!B:F,5,FALSE),"Non trouvé")</f>
        <v>Non trouvé</v>
      </c>
      <c r="K871" t="str">
        <f t="shared" si="130"/>
        <v>Mismatch</v>
      </c>
    </row>
    <row r="872" spans="1:11" x14ac:dyDescent="0.3">
      <c r="A872" t="s">
        <v>1370</v>
      </c>
      <c r="B872" s="1">
        <v>45206.572222222218</v>
      </c>
      <c r="C872" t="s">
        <v>1143</v>
      </c>
      <c r="D872">
        <v>10</v>
      </c>
      <c r="E872" t="s">
        <v>792</v>
      </c>
      <c r="F872" s="4" t="str">
        <f t="shared" si="137"/>
        <v>Kongo-Central</v>
      </c>
      <c r="G872" s="4" t="str">
        <f>IFERROR(VLOOKUP(C872,'Registre maintenance'!B:F,2,FALSE),"Non trouvé")</f>
        <v>Non trouvé</v>
      </c>
      <c r="H872" t="str">
        <f>IFERROR(VLOOKUP(C872,'Registre maintenance'!B:F,3,FALSE),"Non trouvé")</f>
        <v>Non trouvé</v>
      </c>
      <c r="I872" t="str">
        <f>IFERROR(VLOOKUP(C872,'Registre maintenance'!B:F,4,FALSE),"Non trouvé")</f>
        <v>Non trouvé</v>
      </c>
      <c r="J872" t="str">
        <f>IFERROR(VLOOKUP(C872,'Registre maintenance'!B:F,5,FALSE),"Non trouvé")</f>
        <v>Non trouvé</v>
      </c>
      <c r="K872" t="str">
        <f t="shared" si="130"/>
        <v>Mismatch</v>
      </c>
    </row>
    <row r="873" spans="1:11" x14ac:dyDescent="0.3">
      <c r="A873" t="s">
        <v>1370</v>
      </c>
      <c r="B873" s="1">
        <v>45217.999305555553</v>
      </c>
      <c r="C873" t="s">
        <v>1098</v>
      </c>
      <c r="D873">
        <v>38</v>
      </c>
      <c r="E873" t="s">
        <v>795</v>
      </c>
      <c r="F873" s="4" t="s">
        <v>135</v>
      </c>
      <c r="G873" s="4" t="str">
        <f>IFERROR(VLOOKUP(C873,'Registre maintenance'!B:F,2,FALSE),"Non trouvé")</f>
        <v>Lualaba</v>
      </c>
      <c r="H873">
        <f>IFERROR(VLOOKUP(C873,'Registre maintenance'!B:F,3,FALSE),"Non trouvé")</f>
        <v>-10.967288</v>
      </c>
      <c r="I873">
        <f>IFERROR(VLOOKUP(C873,'Registre maintenance'!B:F,4,FALSE),"Non trouvé")</f>
        <v>17.617781000000001</v>
      </c>
      <c r="J873" t="str">
        <f>IFERROR(VLOOKUP(C873,'Registre maintenance'!B:F,5,FALSE),"Non trouvé")</f>
        <v>4G</v>
      </c>
      <c r="K873" t="str">
        <f t="shared" si="130"/>
        <v>OK</v>
      </c>
    </row>
    <row r="874" spans="1:11" x14ac:dyDescent="0.3">
      <c r="A874" t="s">
        <v>1370</v>
      </c>
      <c r="B874" s="1">
        <v>45223.719444444447</v>
      </c>
      <c r="C874" t="s">
        <v>1093</v>
      </c>
      <c r="D874">
        <v>61</v>
      </c>
      <c r="E874" t="s">
        <v>795</v>
      </c>
      <c r="F874" s="4" t="str">
        <f>F873</f>
        <v>Lualaba</v>
      </c>
      <c r="G874" s="4" t="str">
        <f>IFERROR(VLOOKUP(C874,'Registre maintenance'!B:F,2,FALSE),"Non trouvé")</f>
        <v>Non trouvé</v>
      </c>
      <c r="H874" t="str">
        <f>IFERROR(VLOOKUP(C874,'Registre maintenance'!B:F,3,FALSE),"Non trouvé")</f>
        <v>Non trouvé</v>
      </c>
      <c r="I874" t="str">
        <f>IFERROR(VLOOKUP(C874,'Registre maintenance'!B:F,4,FALSE),"Non trouvé")</f>
        <v>Non trouvé</v>
      </c>
      <c r="J874" t="str">
        <f>IFERROR(VLOOKUP(C874,'Registre maintenance'!B:F,5,FALSE),"Non trouvé")</f>
        <v>Non trouvé</v>
      </c>
      <c r="K874" t="str">
        <f t="shared" si="130"/>
        <v>Mismatch</v>
      </c>
    </row>
    <row r="875" spans="1:11" x14ac:dyDescent="0.3">
      <c r="A875" t="s">
        <v>1370</v>
      </c>
      <c r="B875" s="1">
        <v>45221.388194444437</v>
      </c>
      <c r="C875" t="s">
        <v>1389</v>
      </c>
      <c r="D875">
        <v>64</v>
      </c>
      <c r="E875" t="s">
        <v>795</v>
      </c>
      <c r="F875" s="4" t="s">
        <v>72</v>
      </c>
      <c r="G875" s="4" t="str">
        <f>IFERROR(VLOOKUP(C875,'Registre maintenance'!B:F,2,FALSE),"Non trouvé")</f>
        <v>Tshopo</v>
      </c>
      <c r="H875">
        <f>IFERROR(VLOOKUP(C875,'Registre maintenance'!B:F,3,FALSE),"Non trouvé")</f>
        <v>-12.070842000000001</v>
      </c>
      <c r="I875">
        <f>IFERROR(VLOOKUP(C875,'Registre maintenance'!B:F,4,FALSE),"Non trouvé")</f>
        <v>14.757847</v>
      </c>
      <c r="J875" t="str">
        <f>IFERROR(VLOOKUP(C875,'Registre maintenance'!B:F,5,FALSE),"Non trouvé")</f>
        <v>4G</v>
      </c>
      <c r="K875" t="str">
        <f t="shared" si="130"/>
        <v>OK</v>
      </c>
    </row>
    <row r="876" spans="1:11" x14ac:dyDescent="0.3">
      <c r="A876" t="s">
        <v>1370</v>
      </c>
      <c r="B876" s="1">
        <v>45207.127083333333</v>
      </c>
      <c r="C876" t="s">
        <v>929</v>
      </c>
      <c r="D876">
        <v>38</v>
      </c>
      <c r="E876" t="s">
        <v>792</v>
      </c>
      <c r="F876" s="4" t="s">
        <v>50</v>
      </c>
      <c r="G876" s="4" t="str">
        <f>IFERROR(VLOOKUP(C876,'Registre maintenance'!B:F,2,FALSE),"Non trouvé")</f>
        <v>Kwilu</v>
      </c>
      <c r="H876">
        <f>IFERROR(VLOOKUP(C876,'Registre maintenance'!B:F,3,FALSE),"Non trouvé")</f>
        <v>-8.5675749999999997</v>
      </c>
      <c r="I876">
        <f>IFERROR(VLOOKUP(C876,'Registre maintenance'!B:F,4,FALSE),"Non trouvé")</f>
        <v>26.994581</v>
      </c>
      <c r="J876" t="str">
        <f>IFERROR(VLOOKUP(C876,'Registre maintenance'!B:F,5,FALSE),"Non trouvé")</f>
        <v>3G</v>
      </c>
      <c r="K876" t="str">
        <f t="shared" si="130"/>
        <v>OK</v>
      </c>
    </row>
    <row r="877" spans="1:11" x14ac:dyDescent="0.3">
      <c r="A877" t="s">
        <v>1370</v>
      </c>
      <c r="B877" s="1">
        <v>45212.774305555547</v>
      </c>
      <c r="C877" t="s">
        <v>1390</v>
      </c>
      <c r="D877">
        <v>33</v>
      </c>
      <c r="E877" t="s">
        <v>792</v>
      </c>
      <c r="F877" s="4" t="str">
        <f t="shared" ref="F877:F878" si="138">F876</f>
        <v>Kwilu</v>
      </c>
      <c r="G877" s="4" t="str">
        <f>IFERROR(VLOOKUP(C877,'Registre maintenance'!B:F,2,FALSE),"Non trouvé")</f>
        <v>Non trouvé</v>
      </c>
      <c r="H877" t="str">
        <f>IFERROR(VLOOKUP(C877,'Registre maintenance'!B:F,3,FALSE),"Non trouvé")</f>
        <v>Non trouvé</v>
      </c>
      <c r="I877" t="str">
        <f>IFERROR(VLOOKUP(C877,'Registre maintenance'!B:F,4,FALSE),"Non trouvé")</f>
        <v>Non trouvé</v>
      </c>
      <c r="J877" t="str">
        <f>IFERROR(VLOOKUP(C877,'Registre maintenance'!B:F,5,FALSE),"Non trouvé")</f>
        <v>Non trouvé</v>
      </c>
      <c r="K877" t="str">
        <f t="shared" si="130"/>
        <v>Mismatch</v>
      </c>
    </row>
    <row r="878" spans="1:11" x14ac:dyDescent="0.3">
      <c r="A878" t="s">
        <v>1370</v>
      </c>
      <c r="B878" s="1">
        <v>45226.631249999999</v>
      </c>
      <c r="C878" t="s">
        <v>1391</v>
      </c>
      <c r="D878">
        <v>112</v>
      </c>
      <c r="E878" t="s">
        <v>795</v>
      </c>
      <c r="F878" s="4" t="str">
        <f t="shared" si="138"/>
        <v>Kwilu</v>
      </c>
      <c r="G878" s="4" t="str">
        <f>IFERROR(VLOOKUP(C878,'Registre maintenance'!B:F,2,FALSE),"Non trouvé")</f>
        <v>Non trouvé</v>
      </c>
      <c r="H878" t="str">
        <f>IFERROR(VLOOKUP(C878,'Registre maintenance'!B:F,3,FALSE),"Non trouvé")</f>
        <v>Non trouvé</v>
      </c>
      <c r="I878" t="str">
        <f>IFERROR(VLOOKUP(C878,'Registre maintenance'!B:F,4,FALSE),"Non trouvé")</f>
        <v>Non trouvé</v>
      </c>
      <c r="J878" t="str">
        <f>IFERROR(VLOOKUP(C878,'Registre maintenance'!B:F,5,FALSE),"Non trouvé")</f>
        <v>Non trouvé</v>
      </c>
      <c r="K878" t="str">
        <f t="shared" si="130"/>
        <v>Mismatch</v>
      </c>
    </row>
    <row r="879" spans="1:11" x14ac:dyDescent="0.3">
      <c r="A879" t="s">
        <v>1392</v>
      </c>
      <c r="B879" s="1">
        <v>45208.52847222222</v>
      </c>
      <c r="C879" t="s">
        <v>970</v>
      </c>
      <c r="D879">
        <v>33</v>
      </c>
      <c r="E879" t="s">
        <v>795</v>
      </c>
      <c r="F879" s="4" t="s">
        <v>135</v>
      </c>
      <c r="G879" s="4" t="str">
        <f>IFERROR(VLOOKUP(C879,'Registre maintenance'!B:F,2,FALSE),"Non trouvé")</f>
        <v>Lualaba</v>
      </c>
      <c r="H879">
        <f>IFERROR(VLOOKUP(C879,'Registre maintenance'!B:F,3,FALSE),"Non trouvé")</f>
        <v>-10.872631999999999</v>
      </c>
      <c r="I879">
        <f>IFERROR(VLOOKUP(C879,'Registre maintenance'!B:F,4,FALSE),"Non trouvé")</f>
        <v>12.773279</v>
      </c>
      <c r="J879" t="str">
        <f>IFERROR(VLOOKUP(C879,'Registre maintenance'!B:F,5,FALSE),"Non trouvé")</f>
        <v>3G</v>
      </c>
      <c r="K879" t="str">
        <f t="shared" si="130"/>
        <v>OK</v>
      </c>
    </row>
    <row r="880" spans="1:11" x14ac:dyDescent="0.3">
      <c r="A880" t="s">
        <v>1392</v>
      </c>
      <c r="B880" s="1">
        <v>45215.776388888888</v>
      </c>
      <c r="C880" t="s">
        <v>1393</v>
      </c>
      <c r="D880">
        <v>87</v>
      </c>
      <c r="E880" t="s">
        <v>797</v>
      </c>
      <c r="F880" s="4" t="s">
        <v>28</v>
      </c>
      <c r="G880" s="4" t="str">
        <f>IFERROR(VLOOKUP(C880,'Registre maintenance'!B:F,2,FALSE),"Non trouvé")</f>
        <v>Kasai</v>
      </c>
      <c r="H880">
        <f>IFERROR(VLOOKUP(C880,'Registre maintenance'!B:F,3,FALSE),"Non trouvé")</f>
        <v>2.5665840000000002</v>
      </c>
      <c r="I880">
        <f>IFERROR(VLOOKUP(C880,'Registre maintenance'!B:F,4,FALSE),"Non trouvé")</f>
        <v>15.764796</v>
      </c>
      <c r="J880" t="str">
        <f>IFERROR(VLOOKUP(C880,'Registre maintenance'!B:F,5,FALSE),"Non trouvé")</f>
        <v>3G</v>
      </c>
      <c r="K880" t="str">
        <f t="shared" si="130"/>
        <v>OK</v>
      </c>
    </row>
    <row r="881" spans="1:11" x14ac:dyDescent="0.3">
      <c r="A881" t="s">
        <v>1392</v>
      </c>
      <c r="B881" s="1">
        <v>45215.049305555563</v>
      </c>
      <c r="C881" t="s">
        <v>1246</v>
      </c>
      <c r="D881">
        <v>33</v>
      </c>
      <c r="E881" t="s">
        <v>795</v>
      </c>
      <c r="F881" s="4" t="s">
        <v>77</v>
      </c>
      <c r="G881" s="4" t="str">
        <f>IFERROR(VLOOKUP(C881,'Registre maintenance'!B:F,2,FALSE),"Non trouvé")</f>
        <v>Maniema</v>
      </c>
      <c r="H881">
        <f>IFERROR(VLOOKUP(C881,'Registre maintenance'!B:F,3,FALSE),"Non trouvé")</f>
        <v>2.5458379999999998</v>
      </c>
      <c r="I881">
        <f>IFERROR(VLOOKUP(C881,'Registre maintenance'!B:F,4,FALSE),"Non trouvé")</f>
        <v>13.308655</v>
      </c>
      <c r="J881" t="str">
        <f>IFERROR(VLOOKUP(C881,'Registre maintenance'!B:F,5,FALSE),"Non trouvé")</f>
        <v>5G</v>
      </c>
      <c r="K881" t="str">
        <f t="shared" si="130"/>
        <v>OK</v>
      </c>
    </row>
    <row r="882" spans="1:11" x14ac:dyDescent="0.3">
      <c r="A882" t="s">
        <v>1392</v>
      </c>
      <c r="B882" s="1">
        <v>45208.506249999999</v>
      </c>
      <c r="C882" t="s">
        <v>1394</v>
      </c>
      <c r="D882">
        <v>91</v>
      </c>
      <c r="E882" t="s">
        <v>797</v>
      </c>
      <c r="F882" s="4" t="str">
        <f t="shared" ref="F882:F883" si="139">F881</f>
        <v>Maniema</v>
      </c>
      <c r="G882" s="4" t="str">
        <f>IFERROR(VLOOKUP(C882,'Registre maintenance'!B:F,2,FALSE),"Non trouvé")</f>
        <v>Non trouvé</v>
      </c>
      <c r="H882" t="str">
        <f>IFERROR(VLOOKUP(C882,'Registre maintenance'!B:F,3,FALSE),"Non trouvé")</f>
        <v>Non trouvé</v>
      </c>
      <c r="I882" t="str">
        <f>IFERROR(VLOOKUP(C882,'Registre maintenance'!B:F,4,FALSE),"Non trouvé")</f>
        <v>Non trouvé</v>
      </c>
      <c r="J882" t="str">
        <f>IFERROR(VLOOKUP(C882,'Registre maintenance'!B:F,5,FALSE),"Non trouvé")</f>
        <v>Non trouvé</v>
      </c>
      <c r="K882" t="str">
        <f t="shared" si="130"/>
        <v>Mismatch</v>
      </c>
    </row>
    <row r="883" spans="1:11" x14ac:dyDescent="0.3">
      <c r="A883" t="s">
        <v>1392</v>
      </c>
      <c r="B883" s="1">
        <v>45219.821527777778</v>
      </c>
      <c r="C883" t="s">
        <v>1297</v>
      </c>
      <c r="D883">
        <v>31</v>
      </c>
      <c r="E883" t="s">
        <v>795</v>
      </c>
      <c r="F883" s="4" t="str">
        <f t="shared" si="139"/>
        <v>Maniema</v>
      </c>
      <c r="G883" s="4" t="str">
        <f>IFERROR(VLOOKUP(C883,'Registre maintenance'!B:F,2,FALSE),"Non trouvé")</f>
        <v>Non trouvé</v>
      </c>
      <c r="H883" t="str">
        <f>IFERROR(VLOOKUP(C883,'Registre maintenance'!B:F,3,FALSE),"Non trouvé")</f>
        <v>Non trouvé</v>
      </c>
      <c r="I883" t="str">
        <f>IFERROR(VLOOKUP(C883,'Registre maintenance'!B:F,4,FALSE),"Non trouvé")</f>
        <v>Non trouvé</v>
      </c>
      <c r="J883" t="str">
        <f>IFERROR(VLOOKUP(C883,'Registre maintenance'!B:F,5,FALSE),"Non trouvé")</f>
        <v>Non trouvé</v>
      </c>
      <c r="K883" t="str">
        <f t="shared" si="130"/>
        <v>Mismatch</v>
      </c>
    </row>
    <row r="884" spans="1:11" x14ac:dyDescent="0.3">
      <c r="A884" t="s">
        <v>1392</v>
      </c>
      <c r="B884" s="1">
        <v>45222.501388888893</v>
      </c>
      <c r="C884" t="s">
        <v>1395</v>
      </c>
      <c r="D884">
        <v>39</v>
      </c>
      <c r="E884" t="s">
        <v>792</v>
      </c>
      <c r="F884" s="4" t="s">
        <v>17</v>
      </c>
      <c r="G884" s="4" t="str">
        <f>IFERROR(VLOOKUP(C884,'Registre maintenance'!B:F,2,FALSE),"Non trouvé")</f>
        <v>Haut-Lomami</v>
      </c>
      <c r="H884">
        <f>IFERROR(VLOOKUP(C884,'Registre maintenance'!B:F,3,FALSE),"Non trouvé")</f>
        <v>-11.89448</v>
      </c>
      <c r="I884">
        <f>IFERROR(VLOOKUP(C884,'Registre maintenance'!B:F,4,FALSE),"Non trouvé")</f>
        <v>19.216214999999998</v>
      </c>
      <c r="J884" t="str">
        <f>IFERROR(VLOOKUP(C884,'Registre maintenance'!B:F,5,FALSE),"Non trouvé")</f>
        <v>3G</v>
      </c>
      <c r="K884" t="str">
        <f t="shared" si="130"/>
        <v>OK</v>
      </c>
    </row>
    <row r="885" spans="1:11" x14ac:dyDescent="0.3">
      <c r="A885" t="s">
        <v>1392</v>
      </c>
      <c r="B885" s="1">
        <v>45212.447222222218</v>
      </c>
      <c r="C885" t="s">
        <v>1288</v>
      </c>
      <c r="D885">
        <v>88</v>
      </c>
      <c r="E885" t="s">
        <v>795</v>
      </c>
      <c r="F885" s="4" t="s">
        <v>50</v>
      </c>
      <c r="G885" s="4" t="str">
        <f>IFERROR(VLOOKUP(C885,'Registre maintenance'!B:F,2,FALSE),"Non trouvé")</f>
        <v>Kwilu</v>
      </c>
      <c r="H885">
        <f>IFERROR(VLOOKUP(C885,'Registre maintenance'!B:F,3,FALSE),"Non trouvé")</f>
        <v>-7.402336</v>
      </c>
      <c r="I885">
        <f>IFERROR(VLOOKUP(C885,'Registre maintenance'!B:F,4,FALSE),"Non trouvé")</f>
        <v>27.376697</v>
      </c>
      <c r="J885" t="str">
        <f>IFERROR(VLOOKUP(C885,'Registre maintenance'!B:F,5,FALSE),"Non trouvé")</f>
        <v>4G</v>
      </c>
      <c r="K885" t="str">
        <f t="shared" si="130"/>
        <v>OK</v>
      </c>
    </row>
    <row r="886" spans="1:11" x14ac:dyDescent="0.3">
      <c r="A886" t="s">
        <v>1392</v>
      </c>
      <c r="B886" s="1">
        <v>45207.074305555558</v>
      </c>
      <c r="C886" t="s">
        <v>1347</v>
      </c>
      <c r="D886">
        <v>57</v>
      </c>
      <c r="E886" t="s">
        <v>792</v>
      </c>
      <c r="F886" s="4" t="s">
        <v>61</v>
      </c>
      <c r="G886" s="4" t="str">
        <f>IFERROR(VLOOKUP(C886,'Registre maintenance'!B:F,2,FALSE),"Non trouvé")</f>
        <v>Kongo-Central</v>
      </c>
      <c r="H886">
        <f>IFERROR(VLOOKUP(C886,'Registre maintenance'!B:F,3,FALSE),"Non trouvé")</f>
        <v>-7.1587569999999996</v>
      </c>
      <c r="I886">
        <f>IFERROR(VLOOKUP(C886,'Registre maintenance'!B:F,4,FALSE),"Non trouvé")</f>
        <v>18.975141000000001</v>
      </c>
      <c r="J886" t="str">
        <f>IFERROR(VLOOKUP(C886,'Registre maintenance'!B:F,5,FALSE),"Non trouvé")</f>
        <v>5G</v>
      </c>
      <c r="K886" t="str">
        <f t="shared" si="130"/>
        <v>OK</v>
      </c>
    </row>
    <row r="887" spans="1:11" x14ac:dyDescent="0.3">
      <c r="A887" t="s">
        <v>1392</v>
      </c>
      <c r="B887" s="1">
        <v>45215.372916666667</v>
      </c>
      <c r="C887" t="s">
        <v>1063</v>
      </c>
      <c r="D887">
        <v>70</v>
      </c>
      <c r="E887" t="s">
        <v>795</v>
      </c>
      <c r="F887" s="4" t="s">
        <v>61</v>
      </c>
      <c r="G887" s="4" t="str">
        <f>IFERROR(VLOOKUP(C887,'Registre maintenance'!B:F,2,FALSE),"Non trouvé")</f>
        <v>Kongo-Central</v>
      </c>
      <c r="H887">
        <f>IFERROR(VLOOKUP(C887,'Registre maintenance'!B:F,3,FALSE),"Non trouvé")</f>
        <v>-12.112399999999999</v>
      </c>
      <c r="I887">
        <f>IFERROR(VLOOKUP(C887,'Registre maintenance'!B:F,4,FALSE),"Non trouvé")</f>
        <v>15.872226</v>
      </c>
      <c r="J887" t="str">
        <f>IFERROR(VLOOKUP(C887,'Registre maintenance'!B:F,5,FALSE),"Non trouvé")</f>
        <v>4G</v>
      </c>
      <c r="K887" t="str">
        <f t="shared" si="130"/>
        <v>OK</v>
      </c>
    </row>
    <row r="888" spans="1:11" x14ac:dyDescent="0.3">
      <c r="A888" t="s">
        <v>1392</v>
      </c>
      <c r="B888" s="1">
        <v>45211.01458333333</v>
      </c>
      <c r="C888" t="s">
        <v>1396</v>
      </c>
      <c r="D888">
        <v>7</v>
      </c>
      <c r="E888" t="s">
        <v>797</v>
      </c>
      <c r="F888" s="4" t="str">
        <f t="shared" ref="F888:F891" si="140">F887</f>
        <v>Kongo-Central</v>
      </c>
      <c r="G888" s="4" t="str">
        <f>IFERROR(VLOOKUP(C888,'Registre maintenance'!B:F,2,FALSE),"Non trouvé")</f>
        <v>Non trouvé</v>
      </c>
      <c r="H888" t="str">
        <f>IFERROR(VLOOKUP(C888,'Registre maintenance'!B:F,3,FALSE),"Non trouvé")</f>
        <v>Non trouvé</v>
      </c>
      <c r="I888" t="str">
        <f>IFERROR(VLOOKUP(C888,'Registre maintenance'!B:F,4,FALSE),"Non trouvé")</f>
        <v>Non trouvé</v>
      </c>
      <c r="J888" t="str">
        <f>IFERROR(VLOOKUP(C888,'Registre maintenance'!B:F,5,FALSE),"Non trouvé")</f>
        <v>Non trouvé</v>
      </c>
      <c r="K888" t="str">
        <f t="shared" si="130"/>
        <v>Mismatch</v>
      </c>
    </row>
    <row r="889" spans="1:11" x14ac:dyDescent="0.3">
      <c r="A889" t="s">
        <v>1392</v>
      </c>
      <c r="B889" s="1">
        <v>45226.388194444437</v>
      </c>
      <c r="C889" t="s">
        <v>1397</v>
      </c>
      <c r="D889">
        <v>115</v>
      </c>
      <c r="E889" t="s">
        <v>797</v>
      </c>
      <c r="F889" s="4" t="str">
        <f t="shared" si="140"/>
        <v>Kongo-Central</v>
      </c>
      <c r="G889" s="4" t="str">
        <f>IFERROR(VLOOKUP(C889,'Registre maintenance'!B:F,2,FALSE),"Non trouvé")</f>
        <v>Non trouvé</v>
      </c>
      <c r="H889" t="str">
        <f>IFERROR(VLOOKUP(C889,'Registre maintenance'!B:F,3,FALSE),"Non trouvé")</f>
        <v>Non trouvé</v>
      </c>
      <c r="I889" t="str">
        <f>IFERROR(VLOOKUP(C889,'Registre maintenance'!B:F,4,FALSE),"Non trouvé")</f>
        <v>Non trouvé</v>
      </c>
      <c r="J889" t="str">
        <f>IFERROR(VLOOKUP(C889,'Registre maintenance'!B:F,5,FALSE),"Non trouvé")</f>
        <v>Non trouvé</v>
      </c>
      <c r="K889" t="str">
        <f t="shared" si="130"/>
        <v>Mismatch</v>
      </c>
    </row>
    <row r="890" spans="1:11" x14ac:dyDescent="0.3">
      <c r="A890" t="s">
        <v>1392</v>
      </c>
      <c r="B890" s="1">
        <v>45208.662499999999</v>
      </c>
      <c r="C890" t="s">
        <v>1398</v>
      </c>
      <c r="D890">
        <v>104</v>
      </c>
      <c r="E890" t="s">
        <v>797</v>
      </c>
      <c r="F890" s="4" t="str">
        <f t="shared" si="140"/>
        <v>Kongo-Central</v>
      </c>
      <c r="G890" s="4" t="str">
        <f>IFERROR(VLOOKUP(C890,'Registre maintenance'!B:F,2,FALSE),"Non trouvé")</f>
        <v>Non trouvé</v>
      </c>
      <c r="H890" t="str">
        <f>IFERROR(VLOOKUP(C890,'Registre maintenance'!B:F,3,FALSE),"Non trouvé")</f>
        <v>Non trouvé</v>
      </c>
      <c r="I890" t="str">
        <f>IFERROR(VLOOKUP(C890,'Registre maintenance'!B:F,4,FALSE),"Non trouvé")</f>
        <v>Non trouvé</v>
      </c>
      <c r="J890" t="str">
        <f>IFERROR(VLOOKUP(C890,'Registre maintenance'!B:F,5,FALSE),"Non trouvé")</f>
        <v>Non trouvé</v>
      </c>
      <c r="K890" t="str">
        <f t="shared" si="130"/>
        <v>Mismatch</v>
      </c>
    </row>
    <row r="891" spans="1:11" x14ac:dyDescent="0.3">
      <c r="A891" t="s">
        <v>1392</v>
      </c>
      <c r="B891" s="1">
        <v>45222.879166666673</v>
      </c>
      <c r="C891" t="s">
        <v>864</v>
      </c>
      <c r="D891">
        <v>103</v>
      </c>
      <c r="E891" t="s">
        <v>797</v>
      </c>
      <c r="F891" s="4" t="str">
        <f t="shared" si="140"/>
        <v>Kongo-Central</v>
      </c>
      <c r="G891" s="4" t="str">
        <f>IFERROR(VLOOKUP(C891,'Registre maintenance'!B:F,2,FALSE),"Non trouvé")</f>
        <v>Non trouvé</v>
      </c>
      <c r="H891" t="str">
        <f>IFERROR(VLOOKUP(C891,'Registre maintenance'!B:F,3,FALSE),"Non trouvé")</f>
        <v>Non trouvé</v>
      </c>
      <c r="I891" t="str">
        <f>IFERROR(VLOOKUP(C891,'Registre maintenance'!B:F,4,FALSE),"Non trouvé")</f>
        <v>Non trouvé</v>
      </c>
      <c r="J891" t="str">
        <f>IFERROR(VLOOKUP(C891,'Registre maintenance'!B:F,5,FALSE),"Non trouvé")</f>
        <v>Non trouvé</v>
      </c>
      <c r="K891" t="str">
        <f t="shared" si="130"/>
        <v>Mismatch</v>
      </c>
    </row>
    <row r="892" spans="1:11" x14ac:dyDescent="0.3">
      <c r="A892" t="s">
        <v>1392</v>
      </c>
      <c r="B892" s="1">
        <v>45227.297222222223</v>
      </c>
      <c r="C892" t="s">
        <v>1399</v>
      </c>
      <c r="D892">
        <v>92</v>
      </c>
      <c r="E892" t="s">
        <v>797</v>
      </c>
      <c r="F892" s="4" t="s">
        <v>17</v>
      </c>
      <c r="G892" s="4" t="str">
        <f>IFERROR(VLOOKUP(C892,'Registre maintenance'!B:F,2,FALSE),"Non trouvé")</f>
        <v>Haut-Lomami</v>
      </c>
      <c r="H892">
        <f>IFERROR(VLOOKUP(C892,'Registre maintenance'!B:F,3,FALSE),"Non trouvé")</f>
        <v>-5.5559329999999996</v>
      </c>
      <c r="I892">
        <f>IFERROR(VLOOKUP(C892,'Registre maintenance'!B:F,4,FALSE),"Non trouvé")</f>
        <v>13.508692999999999</v>
      </c>
      <c r="J892" t="str">
        <f>IFERROR(VLOOKUP(C892,'Registre maintenance'!B:F,5,FALSE),"Non trouvé")</f>
        <v>3G</v>
      </c>
      <c r="K892" t="str">
        <f t="shared" si="130"/>
        <v>OK</v>
      </c>
    </row>
    <row r="893" spans="1:11" x14ac:dyDescent="0.3">
      <c r="A893" t="s">
        <v>1392</v>
      </c>
      <c r="B893" s="1">
        <v>45209.977777777778</v>
      </c>
      <c r="C893" t="s">
        <v>1317</v>
      </c>
      <c r="D893">
        <v>6</v>
      </c>
      <c r="E893" t="s">
        <v>797</v>
      </c>
      <c r="F893" s="4" t="str">
        <f>F892</f>
        <v>Haut-Lomami</v>
      </c>
      <c r="G893" s="4" t="str">
        <f>IFERROR(VLOOKUP(C893,'Registre maintenance'!B:F,2,FALSE),"Non trouvé")</f>
        <v>Non trouvé</v>
      </c>
      <c r="H893" t="str">
        <f>IFERROR(VLOOKUP(C893,'Registre maintenance'!B:F,3,FALSE),"Non trouvé")</f>
        <v>Non trouvé</v>
      </c>
      <c r="I893" t="str">
        <f>IFERROR(VLOOKUP(C893,'Registre maintenance'!B:F,4,FALSE),"Non trouvé")</f>
        <v>Non trouvé</v>
      </c>
      <c r="J893" t="str">
        <f>IFERROR(VLOOKUP(C893,'Registre maintenance'!B:F,5,FALSE),"Non trouvé")</f>
        <v>Non trouvé</v>
      </c>
      <c r="K893" t="str">
        <f t="shared" si="130"/>
        <v>Mismatch</v>
      </c>
    </row>
    <row r="894" spans="1:11" x14ac:dyDescent="0.3">
      <c r="A894" t="s">
        <v>1392</v>
      </c>
      <c r="B894" s="1">
        <v>45224.428472222222</v>
      </c>
      <c r="C894" t="s">
        <v>813</v>
      </c>
      <c r="D894">
        <v>65</v>
      </c>
      <c r="E894" t="s">
        <v>795</v>
      </c>
      <c r="F894" s="4" t="s">
        <v>23</v>
      </c>
      <c r="G894" s="4" t="str">
        <f>IFERROR(VLOOKUP(C894,'Registre maintenance'!B:F,2,FALSE),"Non trouvé")</f>
        <v>Haut-Katanga</v>
      </c>
      <c r="H894">
        <f>IFERROR(VLOOKUP(C894,'Registre maintenance'!B:F,3,FALSE),"Non trouvé")</f>
        <v>0.172153</v>
      </c>
      <c r="I894">
        <f>IFERROR(VLOOKUP(C894,'Registre maintenance'!B:F,4,FALSE),"Non trouvé")</f>
        <v>21.091376</v>
      </c>
      <c r="J894" t="str">
        <f>IFERROR(VLOOKUP(C894,'Registre maintenance'!B:F,5,FALSE),"Non trouvé")</f>
        <v>3G</v>
      </c>
      <c r="K894" t="str">
        <f t="shared" si="130"/>
        <v>OK</v>
      </c>
    </row>
    <row r="895" spans="1:11" x14ac:dyDescent="0.3">
      <c r="A895" t="s">
        <v>1392</v>
      </c>
      <c r="B895" s="1">
        <v>45223.568055555559</v>
      </c>
      <c r="C895" t="s">
        <v>1400</v>
      </c>
      <c r="D895">
        <v>21</v>
      </c>
      <c r="E895" t="s">
        <v>792</v>
      </c>
      <c r="F895" s="4" t="str">
        <f t="shared" ref="F895:F896" si="141">F894</f>
        <v>Haut-Katanga</v>
      </c>
      <c r="G895" s="4" t="str">
        <f>IFERROR(VLOOKUP(C895,'Registre maintenance'!B:F,2,FALSE),"Non trouvé")</f>
        <v>Non trouvé</v>
      </c>
      <c r="H895" t="str">
        <f>IFERROR(VLOOKUP(C895,'Registre maintenance'!B:F,3,FALSE),"Non trouvé")</f>
        <v>Non trouvé</v>
      </c>
      <c r="I895" t="str">
        <f>IFERROR(VLOOKUP(C895,'Registre maintenance'!B:F,4,FALSE),"Non trouvé")</f>
        <v>Non trouvé</v>
      </c>
      <c r="J895" t="str">
        <f>IFERROR(VLOOKUP(C895,'Registre maintenance'!B:F,5,FALSE),"Non trouvé")</f>
        <v>Non trouvé</v>
      </c>
      <c r="K895" t="str">
        <f t="shared" si="130"/>
        <v>Mismatch</v>
      </c>
    </row>
    <row r="896" spans="1:11" x14ac:dyDescent="0.3">
      <c r="A896" t="s">
        <v>1392</v>
      </c>
      <c r="B896" s="1">
        <v>45220.091666666667</v>
      </c>
      <c r="C896" t="s">
        <v>810</v>
      </c>
      <c r="D896">
        <v>87</v>
      </c>
      <c r="E896" t="s">
        <v>795</v>
      </c>
      <c r="F896" s="4" t="str">
        <f t="shared" si="141"/>
        <v>Haut-Katanga</v>
      </c>
      <c r="G896" s="4" t="str">
        <f>IFERROR(VLOOKUP(C896,'Registre maintenance'!B:F,2,FALSE),"Non trouvé")</f>
        <v>Non trouvé</v>
      </c>
      <c r="H896" t="str">
        <f>IFERROR(VLOOKUP(C896,'Registre maintenance'!B:F,3,FALSE),"Non trouvé")</f>
        <v>Non trouvé</v>
      </c>
      <c r="I896" t="str">
        <f>IFERROR(VLOOKUP(C896,'Registre maintenance'!B:F,4,FALSE),"Non trouvé")</f>
        <v>Non trouvé</v>
      </c>
      <c r="J896" t="str">
        <f>IFERROR(VLOOKUP(C896,'Registre maintenance'!B:F,5,FALSE),"Non trouvé")</f>
        <v>Non trouvé</v>
      </c>
      <c r="K896" t="str">
        <f t="shared" si="130"/>
        <v>Mismatch</v>
      </c>
    </row>
    <row r="897" spans="1:11" x14ac:dyDescent="0.3">
      <c r="A897" t="s">
        <v>1392</v>
      </c>
      <c r="B897" s="1">
        <v>45214.290277777778</v>
      </c>
      <c r="C897" t="s">
        <v>1252</v>
      </c>
      <c r="D897">
        <v>27</v>
      </c>
      <c r="E897" t="s">
        <v>795</v>
      </c>
      <c r="F897" s="4" t="s">
        <v>59</v>
      </c>
      <c r="G897" s="4" t="str">
        <f>IFERROR(VLOOKUP(C897,'Registre maintenance'!B:F,2,FALSE),"Non trouvé")</f>
        <v>Equateur</v>
      </c>
      <c r="H897">
        <f>IFERROR(VLOOKUP(C897,'Registre maintenance'!B:F,3,FALSE),"Non trouvé")</f>
        <v>-12.839263000000001</v>
      </c>
      <c r="I897">
        <f>IFERROR(VLOOKUP(C897,'Registre maintenance'!B:F,4,FALSE),"Non trouvé")</f>
        <v>12.355677</v>
      </c>
      <c r="J897" t="str">
        <f>IFERROR(VLOOKUP(C897,'Registre maintenance'!B:F,5,FALSE),"Non trouvé")</f>
        <v>3G</v>
      </c>
      <c r="K897" t="str">
        <f t="shared" si="130"/>
        <v>OK</v>
      </c>
    </row>
    <row r="898" spans="1:11" x14ac:dyDescent="0.3">
      <c r="A898" t="s">
        <v>1392</v>
      </c>
      <c r="B898" s="1">
        <v>45226.574305555558</v>
      </c>
      <c r="C898" t="s">
        <v>1039</v>
      </c>
      <c r="D898">
        <v>81</v>
      </c>
      <c r="E898" t="s">
        <v>795</v>
      </c>
      <c r="F898" s="4" t="str">
        <f>F897</f>
        <v>Equateur</v>
      </c>
      <c r="G898" s="4" t="str">
        <f>IFERROR(VLOOKUP(C898,'Registre maintenance'!B:F,2,FALSE),"Non trouvé")</f>
        <v>Non trouvé</v>
      </c>
      <c r="H898" t="str">
        <f>IFERROR(VLOOKUP(C898,'Registre maintenance'!B:F,3,FALSE),"Non trouvé")</f>
        <v>Non trouvé</v>
      </c>
      <c r="I898" t="str">
        <f>IFERROR(VLOOKUP(C898,'Registre maintenance'!B:F,4,FALSE),"Non trouvé")</f>
        <v>Non trouvé</v>
      </c>
      <c r="J898" t="str">
        <f>IFERROR(VLOOKUP(C898,'Registre maintenance'!B:F,5,FALSE),"Non trouvé")</f>
        <v>Non trouvé</v>
      </c>
      <c r="K898" t="str">
        <f t="shared" ref="K898:K961" si="142">IF(F898=G898,"OK","Mismatch")</f>
        <v>Mismatch</v>
      </c>
    </row>
    <row r="899" spans="1:11" x14ac:dyDescent="0.3">
      <c r="A899" t="s">
        <v>1392</v>
      </c>
      <c r="B899" s="1">
        <v>45215.704861111109</v>
      </c>
      <c r="C899" t="s">
        <v>1035</v>
      </c>
      <c r="D899">
        <v>107</v>
      </c>
      <c r="E899" t="s">
        <v>792</v>
      </c>
      <c r="F899" s="4" t="s">
        <v>61</v>
      </c>
      <c r="G899" s="4" t="str">
        <f>IFERROR(VLOOKUP(C899,'Registre maintenance'!B:F,2,FALSE),"Non trouvé")</f>
        <v>Kongo-Central</v>
      </c>
      <c r="H899">
        <f>IFERROR(VLOOKUP(C899,'Registre maintenance'!B:F,3,FALSE),"Non trouvé")</f>
        <v>-12.564277000000001</v>
      </c>
      <c r="I899">
        <f>IFERROR(VLOOKUP(C899,'Registre maintenance'!B:F,4,FALSE),"Non trouvé")</f>
        <v>28.480798</v>
      </c>
      <c r="J899" t="str">
        <f>IFERROR(VLOOKUP(C899,'Registre maintenance'!B:F,5,FALSE),"Non trouvé")</f>
        <v>5G</v>
      </c>
      <c r="K899" t="str">
        <f t="shared" si="142"/>
        <v>OK</v>
      </c>
    </row>
    <row r="900" spans="1:11" x14ac:dyDescent="0.3">
      <c r="A900" t="s">
        <v>1392</v>
      </c>
      <c r="B900" s="1">
        <v>45211.063888888893</v>
      </c>
      <c r="C900" t="s">
        <v>1401</v>
      </c>
      <c r="D900">
        <v>6</v>
      </c>
      <c r="E900" t="s">
        <v>797</v>
      </c>
      <c r="F900" s="4" t="s">
        <v>56</v>
      </c>
      <c r="G900" s="4" t="str">
        <f>IFERROR(VLOOKUP(C900,'Registre maintenance'!B:F,2,FALSE),"Non trouvé")</f>
        <v>Kasai-Oriental</v>
      </c>
      <c r="H900">
        <f>IFERROR(VLOOKUP(C900,'Registre maintenance'!B:F,3,FALSE),"Non trouvé")</f>
        <v>1.7832440000000001</v>
      </c>
      <c r="I900">
        <f>IFERROR(VLOOKUP(C900,'Registre maintenance'!B:F,4,FALSE),"Non trouvé")</f>
        <v>25.477405999999998</v>
      </c>
      <c r="J900" t="str">
        <f>IFERROR(VLOOKUP(C900,'Registre maintenance'!B:F,5,FALSE),"Non trouvé")</f>
        <v>5G</v>
      </c>
      <c r="K900" t="str">
        <f t="shared" si="142"/>
        <v>OK</v>
      </c>
    </row>
    <row r="901" spans="1:11" x14ac:dyDescent="0.3">
      <c r="A901" t="s">
        <v>1392</v>
      </c>
      <c r="B901" s="1">
        <v>45225.211111111108</v>
      </c>
      <c r="C901" t="s">
        <v>1402</v>
      </c>
      <c r="D901">
        <v>33</v>
      </c>
      <c r="E901" t="s">
        <v>795</v>
      </c>
      <c r="F901" s="4" t="str">
        <f t="shared" ref="F901:F904" si="143">F900</f>
        <v>Kasai-Oriental</v>
      </c>
      <c r="G901" s="4" t="str">
        <f>IFERROR(VLOOKUP(C901,'Registre maintenance'!B:F,2,FALSE),"Non trouvé")</f>
        <v>Non trouvé</v>
      </c>
      <c r="H901" t="str">
        <f>IFERROR(VLOOKUP(C901,'Registre maintenance'!B:F,3,FALSE),"Non trouvé")</f>
        <v>Non trouvé</v>
      </c>
      <c r="I901" t="str">
        <f>IFERROR(VLOOKUP(C901,'Registre maintenance'!B:F,4,FALSE),"Non trouvé")</f>
        <v>Non trouvé</v>
      </c>
      <c r="J901" t="str">
        <f>IFERROR(VLOOKUP(C901,'Registre maintenance'!B:F,5,FALSE),"Non trouvé")</f>
        <v>Non trouvé</v>
      </c>
      <c r="K901" t="str">
        <f t="shared" si="142"/>
        <v>Mismatch</v>
      </c>
    </row>
    <row r="902" spans="1:11" x14ac:dyDescent="0.3">
      <c r="A902" t="s">
        <v>1392</v>
      </c>
      <c r="B902" s="1">
        <v>45209.938888888893</v>
      </c>
      <c r="C902" t="s">
        <v>852</v>
      </c>
      <c r="D902">
        <v>37</v>
      </c>
      <c r="E902" t="s">
        <v>795</v>
      </c>
      <c r="F902" s="4" t="str">
        <f t="shared" si="143"/>
        <v>Kasai-Oriental</v>
      </c>
      <c r="G902" s="4" t="str">
        <f>IFERROR(VLOOKUP(C902,'Registre maintenance'!B:F,2,FALSE),"Non trouvé")</f>
        <v>Non trouvé</v>
      </c>
      <c r="H902" t="str">
        <f>IFERROR(VLOOKUP(C902,'Registre maintenance'!B:F,3,FALSE),"Non trouvé")</f>
        <v>Non trouvé</v>
      </c>
      <c r="I902" t="str">
        <f>IFERROR(VLOOKUP(C902,'Registre maintenance'!B:F,4,FALSE),"Non trouvé")</f>
        <v>Non trouvé</v>
      </c>
      <c r="J902" t="str">
        <f>IFERROR(VLOOKUP(C902,'Registre maintenance'!B:F,5,FALSE),"Non trouvé")</f>
        <v>Non trouvé</v>
      </c>
      <c r="K902" t="str">
        <f t="shared" si="142"/>
        <v>Mismatch</v>
      </c>
    </row>
    <row r="903" spans="1:11" x14ac:dyDescent="0.3">
      <c r="A903" t="s">
        <v>1392</v>
      </c>
      <c r="B903" s="1">
        <v>45212.200694444437</v>
      </c>
      <c r="C903" t="s">
        <v>1060</v>
      </c>
      <c r="D903">
        <v>82</v>
      </c>
      <c r="E903" t="s">
        <v>792</v>
      </c>
      <c r="F903" s="4" t="str">
        <f t="shared" si="143"/>
        <v>Kasai-Oriental</v>
      </c>
      <c r="G903" s="4" t="str">
        <f>IFERROR(VLOOKUP(C903,'Registre maintenance'!B:F,2,FALSE),"Non trouvé")</f>
        <v>Non trouvé</v>
      </c>
      <c r="H903" t="str">
        <f>IFERROR(VLOOKUP(C903,'Registre maintenance'!B:F,3,FALSE),"Non trouvé")</f>
        <v>Non trouvé</v>
      </c>
      <c r="I903" t="str">
        <f>IFERROR(VLOOKUP(C903,'Registre maintenance'!B:F,4,FALSE),"Non trouvé")</f>
        <v>Non trouvé</v>
      </c>
      <c r="J903" t="str">
        <f>IFERROR(VLOOKUP(C903,'Registre maintenance'!B:F,5,FALSE),"Non trouvé")</f>
        <v>Non trouvé</v>
      </c>
      <c r="K903" t="str">
        <f t="shared" si="142"/>
        <v>Mismatch</v>
      </c>
    </row>
    <row r="904" spans="1:11" x14ac:dyDescent="0.3">
      <c r="A904" t="s">
        <v>1392</v>
      </c>
      <c r="B904" s="1">
        <v>45227.705555555563</v>
      </c>
      <c r="C904" t="s">
        <v>1052</v>
      </c>
      <c r="D904">
        <v>108</v>
      </c>
      <c r="E904" t="s">
        <v>795</v>
      </c>
      <c r="F904" s="4" t="str">
        <f t="shared" si="143"/>
        <v>Kasai-Oriental</v>
      </c>
      <c r="G904" s="4" t="str">
        <f>IFERROR(VLOOKUP(C904,'Registre maintenance'!B:F,2,FALSE),"Non trouvé")</f>
        <v>Non trouvé</v>
      </c>
      <c r="H904" t="str">
        <f>IFERROR(VLOOKUP(C904,'Registre maintenance'!B:F,3,FALSE),"Non trouvé")</f>
        <v>Non trouvé</v>
      </c>
      <c r="I904" t="str">
        <f>IFERROR(VLOOKUP(C904,'Registre maintenance'!B:F,4,FALSE),"Non trouvé")</f>
        <v>Non trouvé</v>
      </c>
      <c r="J904" t="str">
        <f>IFERROR(VLOOKUP(C904,'Registre maintenance'!B:F,5,FALSE),"Non trouvé")</f>
        <v>Non trouvé</v>
      </c>
      <c r="K904" t="str">
        <f t="shared" si="142"/>
        <v>Mismatch</v>
      </c>
    </row>
    <row r="905" spans="1:11" x14ac:dyDescent="0.3">
      <c r="A905" t="s">
        <v>1392</v>
      </c>
      <c r="B905" s="1">
        <v>45218.007638888892</v>
      </c>
      <c r="C905" t="s">
        <v>903</v>
      </c>
      <c r="D905">
        <v>44</v>
      </c>
      <c r="E905" t="s">
        <v>795</v>
      </c>
      <c r="F905" s="4" t="s">
        <v>20</v>
      </c>
      <c r="G905" s="4" t="str">
        <f>IFERROR(VLOOKUP(C905,'Registre maintenance'!B:F,2,FALSE),"Non trouvé")</f>
        <v>Sud-Kivu</v>
      </c>
      <c r="H905">
        <f>IFERROR(VLOOKUP(C905,'Registre maintenance'!B:F,3,FALSE),"Non trouvé")</f>
        <v>-9.4702129999999993</v>
      </c>
      <c r="I905">
        <f>IFERROR(VLOOKUP(C905,'Registre maintenance'!B:F,4,FALSE),"Non trouvé")</f>
        <v>12.826158</v>
      </c>
      <c r="J905" t="str">
        <f>IFERROR(VLOOKUP(C905,'Registre maintenance'!B:F,5,FALSE),"Non trouvé")</f>
        <v>3G</v>
      </c>
      <c r="K905" t="str">
        <f t="shared" si="142"/>
        <v>OK</v>
      </c>
    </row>
    <row r="906" spans="1:11" x14ac:dyDescent="0.3">
      <c r="A906" t="s">
        <v>1392</v>
      </c>
      <c r="B906" s="1">
        <v>45206.286805555559</v>
      </c>
      <c r="C906" t="s">
        <v>852</v>
      </c>
      <c r="D906">
        <v>96</v>
      </c>
      <c r="E906" t="s">
        <v>795</v>
      </c>
      <c r="F906" s="4" t="str">
        <f>F905</f>
        <v>Sud-Kivu</v>
      </c>
      <c r="G906" s="4" t="str">
        <f>IFERROR(VLOOKUP(C906,'Registre maintenance'!B:F,2,FALSE),"Non trouvé")</f>
        <v>Non trouvé</v>
      </c>
      <c r="H906" t="str">
        <f>IFERROR(VLOOKUP(C906,'Registre maintenance'!B:F,3,FALSE),"Non trouvé")</f>
        <v>Non trouvé</v>
      </c>
      <c r="I906" t="str">
        <f>IFERROR(VLOOKUP(C906,'Registre maintenance'!B:F,4,FALSE),"Non trouvé")</f>
        <v>Non trouvé</v>
      </c>
      <c r="J906" t="str">
        <f>IFERROR(VLOOKUP(C906,'Registre maintenance'!B:F,5,FALSE),"Non trouvé")</f>
        <v>Non trouvé</v>
      </c>
      <c r="K906" t="str">
        <f t="shared" si="142"/>
        <v>Mismatch</v>
      </c>
    </row>
    <row r="907" spans="1:11" x14ac:dyDescent="0.3">
      <c r="A907" t="s">
        <v>1392</v>
      </c>
      <c r="B907" s="1">
        <v>45201.293055555558</v>
      </c>
      <c r="C907" t="s">
        <v>1349</v>
      </c>
      <c r="D907">
        <v>95</v>
      </c>
      <c r="E907" t="s">
        <v>797</v>
      </c>
      <c r="F907" s="4" t="s">
        <v>66</v>
      </c>
      <c r="G907" s="4" t="str">
        <f>IFERROR(VLOOKUP(C907,'Registre maintenance'!B:F,2,FALSE),"Non trouvé")</f>
        <v>Lomami</v>
      </c>
      <c r="H907">
        <f>IFERROR(VLOOKUP(C907,'Registre maintenance'!B:F,3,FALSE),"Non trouvé")</f>
        <v>-9.5619429999999994</v>
      </c>
      <c r="I907">
        <f>IFERROR(VLOOKUP(C907,'Registre maintenance'!B:F,4,FALSE),"Non trouvé")</f>
        <v>21.445726000000001</v>
      </c>
      <c r="J907" t="str">
        <f>IFERROR(VLOOKUP(C907,'Registre maintenance'!B:F,5,FALSE),"Non trouvé")</f>
        <v>4G</v>
      </c>
      <c r="K907" t="str">
        <f t="shared" si="142"/>
        <v>OK</v>
      </c>
    </row>
    <row r="908" spans="1:11" x14ac:dyDescent="0.3">
      <c r="A908" t="s">
        <v>1392</v>
      </c>
      <c r="B908" s="1">
        <v>45214.081944444442</v>
      </c>
      <c r="C908" t="s">
        <v>1403</v>
      </c>
      <c r="D908">
        <v>87</v>
      </c>
      <c r="E908" t="s">
        <v>795</v>
      </c>
      <c r="F908" s="4" t="str">
        <f t="shared" ref="F908:F910" si="144">F907</f>
        <v>Lomami</v>
      </c>
      <c r="G908" s="4" t="str">
        <f>IFERROR(VLOOKUP(C908,'Registre maintenance'!B:F,2,FALSE),"Non trouvé")</f>
        <v>Non trouvé</v>
      </c>
      <c r="H908" t="str">
        <f>IFERROR(VLOOKUP(C908,'Registre maintenance'!B:F,3,FALSE),"Non trouvé")</f>
        <v>Non trouvé</v>
      </c>
      <c r="I908" t="str">
        <f>IFERROR(VLOOKUP(C908,'Registre maintenance'!B:F,4,FALSE),"Non trouvé")</f>
        <v>Non trouvé</v>
      </c>
      <c r="J908" t="str">
        <f>IFERROR(VLOOKUP(C908,'Registre maintenance'!B:F,5,FALSE),"Non trouvé")</f>
        <v>Non trouvé</v>
      </c>
      <c r="K908" t="str">
        <f t="shared" si="142"/>
        <v>Mismatch</v>
      </c>
    </row>
    <row r="909" spans="1:11" x14ac:dyDescent="0.3">
      <c r="A909" t="s">
        <v>1392</v>
      </c>
      <c r="B909" s="1">
        <v>45211.925000000003</v>
      </c>
      <c r="C909" t="s">
        <v>940</v>
      </c>
      <c r="D909">
        <v>40</v>
      </c>
      <c r="E909" t="s">
        <v>797</v>
      </c>
      <c r="F909" s="4" t="str">
        <f t="shared" si="144"/>
        <v>Lomami</v>
      </c>
      <c r="G909" s="4" t="str">
        <f>IFERROR(VLOOKUP(C909,'Registre maintenance'!B:F,2,FALSE),"Non trouvé")</f>
        <v>Non trouvé</v>
      </c>
      <c r="H909" t="str">
        <f>IFERROR(VLOOKUP(C909,'Registre maintenance'!B:F,3,FALSE),"Non trouvé")</f>
        <v>Non trouvé</v>
      </c>
      <c r="I909" t="str">
        <f>IFERROR(VLOOKUP(C909,'Registre maintenance'!B:F,4,FALSE),"Non trouvé")</f>
        <v>Non trouvé</v>
      </c>
      <c r="J909" t="str">
        <f>IFERROR(VLOOKUP(C909,'Registre maintenance'!B:F,5,FALSE),"Non trouvé")</f>
        <v>Non trouvé</v>
      </c>
      <c r="K909" t="str">
        <f t="shared" si="142"/>
        <v>Mismatch</v>
      </c>
    </row>
    <row r="910" spans="1:11" x14ac:dyDescent="0.3">
      <c r="A910" t="s">
        <v>1392</v>
      </c>
      <c r="B910" s="1">
        <v>45208.494444444441</v>
      </c>
      <c r="C910" t="s">
        <v>1138</v>
      </c>
      <c r="D910">
        <v>59</v>
      </c>
      <c r="E910" t="s">
        <v>795</v>
      </c>
      <c r="F910" s="4" t="str">
        <f t="shared" si="144"/>
        <v>Lomami</v>
      </c>
      <c r="G910" s="4" t="str">
        <f>IFERROR(VLOOKUP(C910,'Registre maintenance'!B:F,2,FALSE),"Non trouvé")</f>
        <v>Non trouvé</v>
      </c>
      <c r="H910" t="str">
        <f>IFERROR(VLOOKUP(C910,'Registre maintenance'!B:F,3,FALSE),"Non trouvé")</f>
        <v>Non trouvé</v>
      </c>
      <c r="I910" t="str">
        <f>IFERROR(VLOOKUP(C910,'Registre maintenance'!B:F,4,FALSE),"Non trouvé")</f>
        <v>Non trouvé</v>
      </c>
      <c r="J910" t="str">
        <f>IFERROR(VLOOKUP(C910,'Registre maintenance'!B:F,5,FALSE),"Non trouvé")</f>
        <v>Non trouvé</v>
      </c>
      <c r="K910" t="str">
        <f t="shared" si="142"/>
        <v>Mismatch</v>
      </c>
    </row>
    <row r="911" spans="1:11" x14ac:dyDescent="0.3">
      <c r="A911" t="s">
        <v>1392</v>
      </c>
      <c r="B911" s="1">
        <v>45214.684027777781</v>
      </c>
      <c r="C911" t="s">
        <v>893</v>
      </c>
      <c r="D911">
        <v>119</v>
      </c>
      <c r="E911" t="s">
        <v>797</v>
      </c>
      <c r="F911" s="4" t="s">
        <v>66</v>
      </c>
      <c r="G911" s="4" t="str">
        <f>IFERROR(VLOOKUP(C911,'Registre maintenance'!B:F,2,FALSE),"Non trouvé")</f>
        <v>Lomami</v>
      </c>
      <c r="H911">
        <f>IFERROR(VLOOKUP(C911,'Registre maintenance'!B:F,3,FALSE),"Non trouvé")</f>
        <v>-11.218453999999999</v>
      </c>
      <c r="I911">
        <f>IFERROR(VLOOKUP(C911,'Registre maintenance'!B:F,4,FALSE),"Non trouvé")</f>
        <v>28.230025000000001</v>
      </c>
      <c r="J911" t="str">
        <f>IFERROR(VLOOKUP(C911,'Registre maintenance'!B:F,5,FALSE),"Non trouvé")</f>
        <v>5G</v>
      </c>
      <c r="K911" t="str">
        <f t="shared" si="142"/>
        <v>OK</v>
      </c>
    </row>
    <row r="912" spans="1:11" x14ac:dyDescent="0.3">
      <c r="A912" t="s">
        <v>1392</v>
      </c>
      <c r="B912" s="1">
        <v>45220.154861111107</v>
      </c>
      <c r="C912" t="s">
        <v>1195</v>
      </c>
      <c r="D912">
        <v>53</v>
      </c>
      <c r="E912" t="s">
        <v>792</v>
      </c>
      <c r="F912" s="4" t="s">
        <v>61</v>
      </c>
      <c r="G912" s="4" t="str">
        <f>IFERROR(VLOOKUP(C912,'Registre maintenance'!B:F,2,FALSE),"Non trouvé")</f>
        <v>Kongo-Central</v>
      </c>
      <c r="H912">
        <f>IFERROR(VLOOKUP(C912,'Registre maintenance'!B:F,3,FALSE),"Non trouvé")</f>
        <v>-9.8208710000000004</v>
      </c>
      <c r="I912">
        <f>IFERROR(VLOOKUP(C912,'Registre maintenance'!B:F,4,FALSE),"Non trouvé")</f>
        <v>23.229807000000001</v>
      </c>
      <c r="J912" t="str">
        <f>IFERROR(VLOOKUP(C912,'Registre maintenance'!B:F,5,FALSE),"Non trouvé")</f>
        <v>5G</v>
      </c>
      <c r="K912" t="str">
        <f t="shared" si="142"/>
        <v>OK</v>
      </c>
    </row>
    <row r="913" spans="1:11" x14ac:dyDescent="0.3">
      <c r="A913" t="s">
        <v>1392</v>
      </c>
      <c r="B913" s="1">
        <v>45200.307638888888</v>
      </c>
      <c r="C913" t="s">
        <v>810</v>
      </c>
      <c r="D913">
        <v>114</v>
      </c>
      <c r="E913" t="s">
        <v>795</v>
      </c>
      <c r="F913" s="4" t="str">
        <f t="shared" ref="F913:F914" si="145">F912</f>
        <v>Kongo-Central</v>
      </c>
      <c r="G913" s="4" t="str">
        <f>IFERROR(VLOOKUP(C913,'Registre maintenance'!B:F,2,FALSE),"Non trouvé")</f>
        <v>Non trouvé</v>
      </c>
      <c r="H913" t="str">
        <f>IFERROR(VLOOKUP(C913,'Registre maintenance'!B:F,3,FALSE),"Non trouvé")</f>
        <v>Non trouvé</v>
      </c>
      <c r="I913" t="str">
        <f>IFERROR(VLOOKUP(C913,'Registre maintenance'!B:F,4,FALSE),"Non trouvé")</f>
        <v>Non trouvé</v>
      </c>
      <c r="J913" t="str">
        <f>IFERROR(VLOOKUP(C913,'Registre maintenance'!B:F,5,FALSE),"Non trouvé")</f>
        <v>Non trouvé</v>
      </c>
      <c r="K913" t="str">
        <f t="shared" si="142"/>
        <v>Mismatch</v>
      </c>
    </row>
    <row r="914" spans="1:11" x14ac:dyDescent="0.3">
      <c r="A914" t="s">
        <v>1392</v>
      </c>
      <c r="B914" s="1">
        <v>45215.811111111107</v>
      </c>
      <c r="C914" t="s">
        <v>978</v>
      </c>
      <c r="D914">
        <v>49</v>
      </c>
      <c r="E914" t="s">
        <v>795</v>
      </c>
      <c r="F914" s="4" t="str">
        <f t="shared" si="145"/>
        <v>Kongo-Central</v>
      </c>
      <c r="G914" s="4" t="str">
        <f>IFERROR(VLOOKUP(C914,'Registre maintenance'!B:F,2,FALSE),"Non trouvé")</f>
        <v>Non trouvé</v>
      </c>
      <c r="H914" t="str">
        <f>IFERROR(VLOOKUP(C914,'Registre maintenance'!B:F,3,FALSE),"Non trouvé")</f>
        <v>Non trouvé</v>
      </c>
      <c r="I914" t="str">
        <f>IFERROR(VLOOKUP(C914,'Registre maintenance'!B:F,4,FALSE),"Non trouvé")</f>
        <v>Non trouvé</v>
      </c>
      <c r="J914" t="str">
        <f>IFERROR(VLOOKUP(C914,'Registre maintenance'!B:F,5,FALSE),"Non trouvé")</f>
        <v>Non trouvé</v>
      </c>
      <c r="K914" t="str">
        <f t="shared" si="142"/>
        <v>Mismatch</v>
      </c>
    </row>
    <row r="915" spans="1:11" x14ac:dyDescent="0.3">
      <c r="A915" t="s">
        <v>1392</v>
      </c>
      <c r="B915" s="1">
        <v>45205.650694444441</v>
      </c>
      <c r="C915" t="s">
        <v>1404</v>
      </c>
      <c r="D915">
        <v>63</v>
      </c>
      <c r="E915" t="s">
        <v>792</v>
      </c>
      <c r="F915" s="4" t="s">
        <v>61</v>
      </c>
      <c r="G915" s="4" t="str">
        <f>IFERROR(VLOOKUP(C915,'Registre maintenance'!B:F,2,FALSE),"Non trouvé")</f>
        <v>Kongo-Central</v>
      </c>
      <c r="H915">
        <f>IFERROR(VLOOKUP(C915,'Registre maintenance'!B:F,3,FALSE),"Non trouvé")</f>
        <v>-10.977309</v>
      </c>
      <c r="I915">
        <f>IFERROR(VLOOKUP(C915,'Registre maintenance'!B:F,4,FALSE),"Non trouvé")</f>
        <v>12.408281000000001</v>
      </c>
      <c r="J915" t="str">
        <f>IFERROR(VLOOKUP(C915,'Registre maintenance'!B:F,5,FALSE),"Non trouvé")</f>
        <v>5G</v>
      </c>
      <c r="K915" t="str">
        <f t="shared" si="142"/>
        <v>OK</v>
      </c>
    </row>
    <row r="916" spans="1:11" x14ac:dyDescent="0.3">
      <c r="A916" t="s">
        <v>1392</v>
      </c>
      <c r="B916" s="1">
        <v>45217.473611111112</v>
      </c>
      <c r="C916" t="s">
        <v>929</v>
      </c>
      <c r="D916">
        <v>37</v>
      </c>
      <c r="E916" t="s">
        <v>797</v>
      </c>
      <c r="F916" s="4" t="s">
        <v>50</v>
      </c>
      <c r="G916" s="4" t="str">
        <f>IFERROR(VLOOKUP(C916,'Registre maintenance'!B:F,2,FALSE),"Non trouvé")</f>
        <v>Kwilu</v>
      </c>
      <c r="H916">
        <f>IFERROR(VLOOKUP(C916,'Registre maintenance'!B:F,3,FALSE),"Non trouvé")</f>
        <v>-8.5675749999999997</v>
      </c>
      <c r="I916">
        <f>IFERROR(VLOOKUP(C916,'Registre maintenance'!B:F,4,FALSE),"Non trouvé")</f>
        <v>26.994581</v>
      </c>
      <c r="J916" t="str">
        <f>IFERROR(VLOOKUP(C916,'Registre maintenance'!B:F,5,FALSE),"Non trouvé")</f>
        <v>3G</v>
      </c>
      <c r="K916" t="str">
        <f t="shared" si="142"/>
        <v>OK</v>
      </c>
    </row>
    <row r="917" spans="1:11" x14ac:dyDescent="0.3">
      <c r="A917" t="s">
        <v>1392</v>
      </c>
      <c r="B917" s="1">
        <v>45205.365972222222</v>
      </c>
      <c r="C917" t="s">
        <v>1222</v>
      </c>
      <c r="D917">
        <v>32</v>
      </c>
      <c r="E917" t="s">
        <v>792</v>
      </c>
      <c r="F917" s="4" t="str">
        <f t="shared" ref="F917:F919" si="146">F916</f>
        <v>Kwilu</v>
      </c>
      <c r="G917" s="4" t="str">
        <f>IFERROR(VLOOKUP(C917,'Registre maintenance'!B:F,2,FALSE),"Non trouvé")</f>
        <v>Non trouvé</v>
      </c>
      <c r="H917" t="str">
        <f>IFERROR(VLOOKUP(C917,'Registre maintenance'!B:F,3,FALSE),"Non trouvé")</f>
        <v>Non trouvé</v>
      </c>
      <c r="I917" t="str">
        <f>IFERROR(VLOOKUP(C917,'Registre maintenance'!B:F,4,FALSE),"Non trouvé")</f>
        <v>Non trouvé</v>
      </c>
      <c r="J917" t="str">
        <f>IFERROR(VLOOKUP(C917,'Registre maintenance'!B:F,5,FALSE),"Non trouvé")</f>
        <v>Non trouvé</v>
      </c>
      <c r="K917" t="str">
        <f t="shared" si="142"/>
        <v>Mismatch</v>
      </c>
    </row>
    <row r="918" spans="1:11" x14ac:dyDescent="0.3">
      <c r="A918" t="s">
        <v>1392</v>
      </c>
      <c r="B918" s="1">
        <v>45226.920138888891</v>
      </c>
      <c r="C918" t="s">
        <v>836</v>
      </c>
      <c r="D918">
        <v>64</v>
      </c>
      <c r="E918" t="s">
        <v>797</v>
      </c>
      <c r="F918" s="4" t="str">
        <f t="shared" si="146"/>
        <v>Kwilu</v>
      </c>
      <c r="G918" s="4" t="str">
        <f>IFERROR(VLOOKUP(C918,'Registre maintenance'!B:F,2,FALSE),"Non trouvé")</f>
        <v>Non trouvé</v>
      </c>
      <c r="H918" t="str">
        <f>IFERROR(VLOOKUP(C918,'Registre maintenance'!B:F,3,FALSE),"Non trouvé")</f>
        <v>Non trouvé</v>
      </c>
      <c r="I918" t="str">
        <f>IFERROR(VLOOKUP(C918,'Registre maintenance'!B:F,4,FALSE),"Non trouvé")</f>
        <v>Non trouvé</v>
      </c>
      <c r="J918" t="str">
        <f>IFERROR(VLOOKUP(C918,'Registre maintenance'!B:F,5,FALSE),"Non trouvé")</f>
        <v>Non trouvé</v>
      </c>
      <c r="K918" t="str">
        <f t="shared" si="142"/>
        <v>Mismatch</v>
      </c>
    </row>
    <row r="919" spans="1:11" x14ac:dyDescent="0.3">
      <c r="A919" t="s">
        <v>1392</v>
      </c>
      <c r="B919" s="1">
        <v>45209.01666666667</v>
      </c>
      <c r="C919" t="s">
        <v>1405</v>
      </c>
      <c r="D919">
        <v>43</v>
      </c>
      <c r="E919" t="s">
        <v>792</v>
      </c>
      <c r="F919" s="4" t="str">
        <f t="shared" si="146"/>
        <v>Kwilu</v>
      </c>
      <c r="G919" s="4" t="str">
        <f>IFERROR(VLOOKUP(C919,'Registre maintenance'!B:F,2,FALSE),"Non trouvé")</f>
        <v>Non trouvé</v>
      </c>
      <c r="H919" t="str">
        <f>IFERROR(VLOOKUP(C919,'Registre maintenance'!B:F,3,FALSE),"Non trouvé")</f>
        <v>Non trouvé</v>
      </c>
      <c r="I919" t="str">
        <f>IFERROR(VLOOKUP(C919,'Registre maintenance'!B:F,4,FALSE),"Non trouvé")</f>
        <v>Non trouvé</v>
      </c>
      <c r="J919" t="str">
        <f>IFERROR(VLOOKUP(C919,'Registre maintenance'!B:F,5,FALSE),"Non trouvé")</f>
        <v>Non trouvé</v>
      </c>
      <c r="K919" t="str">
        <f t="shared" si="142"/>
        <v>Mismatch</v>
      </c>
    </row>
    <row r="920" spans="1:11" x14ac:dyDescent="0.3">
      <c r="A920" t="s">
        <v>1392</v>
      </c>
      <c r="B920" s="1">
        <v>45201.245833333327</v>
      </c>
      <c r="C920" t="s">
        <v>1129</v>
      </c>
      <c r="D920">
        <v>91</v>
      </c>
      <c r="E920" t="s">
        <v>795</v>
      </c>
      <c r="F920" s="4" t="s">
        <v>9</v>
      </c>
      <c r="G920" s="4" t="str">
        <f>IFERROR(VLOOKUP(C920,'Registre maintenance'!B:F,2,FALSE),"Non trouvé")</f>
        <v>Ituri</v>
      </c>
      <c r="H920">
        <f>IFERROR(VLOOKUP(C920,'Registre maintenance'!B:F,3,FALSE),"Non trouvé")</f>
        <v>-0.34051900000000002</v>
      </c>
      <c r="I920">
        <f>IFERROR(VLOOKUP(C920,'Registre maintenance'!B:F,4,FALSE),"Non trouvé")</f>
        <v>17.079799000000001</v>
      </c>
      <c r="J920" t="str">
        <f>IFERROR(VLOOKUP(C920,'Registre maintenance'!B:F,5,FALSE),"Non trouvé")</f>
        <v>5G</v>
      </c>
      <c r="K920" t="str">
        <f t="shared" si="142"/>
        <v>OK</v>
      </c>
    </row>
    <row r="921" spans="1:11" x14ac:dyDescent="0.3">
      <c r="A921" t="s">
        <v>1392</v>
      </c>
      <c r="B921" s="1">
        <v>45218.287499999999</v>
      </c>
      <c r="C921" t="s">
        <v>1406</v>
      </c>
      <c r="D921">
        <v>71</v>
      </c>
      <c r="E921" t="s">
        <v>797</v>
      </c>
      <c r="F921" s="4" t="str">
        <f t="shared" ref="F921:F934" si="147">F920</f>
        <v>Ituri</v>
      </c>
      <c r="G921" s="4" t="str">
        <f>IFERROR(VLOOKUP(C921,'Registre maintenance'!B:F,2,FALSE),"Non trouvé")</f>
        <v>Non trouvé</v>
      </c>
      <c r="H921" t="str">
        <f>IFERROR(VLOOKUP(C921,'Registre maintenance'!B:F,3,FALSE),"Non trouvé")</f>
        <v>Non trouvé</v>
      </c>
      <c r="I921" t="str">
        <f>IFERROR(VLOOKUP(C921,'Registre maintenance'!B:F,4,FALSE),"Non trouvé")</f>
        <v>Non trouvé</v>
      </c>
      <c r="J921" t="str">
        <f>IFERROR(VLOOKUP(C921,'Registre maintenance'!B:F,5,FALSE),"Non trouvé")</f>
        <v>Non trouvé</v>
      </c>
      <c r="K921" t="str">
        <f t="shared" si="142"/>
        <v>Mismatch</v>
      </c>
    </row>
    <row r="922" spans="1:11" x14ac:dyDescent="0.3">
      <c r="A922" t="s">
        <v>1407</v>
      </c>
      <c r="B922" s="1">
        <v>45220.093055555553</v>
      </c>
      <c r="C922" t="s">
        <v>1368</v>
      </c>
      <c r="D922">
        <v>48</v>
      </c>
      <c r="E922" t="s">
        <v>792</v>
      </c>
      <c r="F922" s="4" t="str">
        <f t="shared" si="147"/>
        <v>Ituri</v>
      </c>
      <c r="G922" s="4" t="str">
        <f>IFERROR(VLOOKUP(C922,'Registre maintenance'!B:F,2,FALSE),"Non trouvé")</f>
        <v>Non trouvé</v>
      </c>
      <c r="H922" t="str">
        <f>IFERROR(VLOOKUP(C922,'Registre maintenance'!B:F,3,FALSE),"Non trouvé")</f>
        <v>Non trouvé</v>
      </c>
      <c r="I922" t="str">
        <f>IFERROR(VLOOKUP(C922,'Registre maintenance'!B:F,4,FALSE),"Non trouvé")</f>
        <v>Non trouvé</v>
      </c>
      <c r="J922" t="str">
        <f>IFERROR(VLOOKUP(C922,'Registre maintenance'!B:F,5,FALSE),"Non trouvé")</f>
        <v>Non trouvé</v>
      </c>
      <c r="K922" t="str">
        <f t="shared" si="142"/>
        <v>Mismatch</v>
      </c>
    </row>
    <row r="923" spans="1:11" x14ac:dyDescent="0.3">
      <c r="A923" t="s">
        <v>1407</v>
      </c>
      <c r="B923" s="1">
        <v>45211.324305555558</v>
      </c>
      <c r="C923" t="s">
        <v>1408</v>
      </c>
      <c r="D923">
        <v>120</v>
      </c>
      <c r="E923" t="s">
        <v>797</v>
      </c>
      <c r="F923" s="4" t="str">
        <f t="shared" si="147"/>
        <v>Ituri</v>
      </c>
      <c r="G923" s="4" t="str">
        <f>IFERROR(VLOOKUP(C923,'Registre maintenance'!B:F,2,FALSE),"Non trouvé")</f>
        <v>Non trouvé</v>
      </c>
      <c r="H923" t="str">
        <f>IFERROR(VLOOKUP(C923,'Registre maintenance'!B:F,3,FALSE),"Non trouvé")</f>
        <v>Non trouvé</v>
      </c>
      <c r="I923" t="str">
        <f>IFERROR(VLOOKUP(C923,'Registre maintenance'!B:F,4,FALSE),"Non trouvé")</f>
        <v>Non trouvé</v>
      </c>
      <c r="J923" t="str">
        <f>IFERROR(VLOOKUP(C923,'Registre maintenance'!B:F,5,FALSE),"Non trouvé")</f>
        <v>Non trouvé</v>
      </c>
      <c r="K923" t="str">
        <f t="shared" si="142"/>
        <v>Mismatch</v>
      </c>
    </row>
    <row r="924" spans="1:11" x14ac:dyDescent="0.3">
      <c r="A924" t="s">
        <v>1407</v>
      </c>
      <c r="B924" s="1">
        <v>45227.393055555563</v>
      </c>
      <c r="C924" t="s">
        <v>1068</v>
      </c>
      <c r="D924">
        <v>67</v>
      </c>
      <c r="E924" t="s">
        <v>792</v>
      </c>
      <c r="F924" s="4" t="str">
        <f t="shared" si="147"/>
        <v>Ituri</v>
      </c>
      <c r="G924" s="4" t="str">
        <f>IFERROR(VLOOKUP(C924,'Registre maintenance'!B:F,2,FALSE),"Non trouvé")</f>
        <v>Non trouvé</v>
      </c>
      <c r="H924" t="str">
        <f>IFERROR(VLOOKUP(C924,'Registre maintenance'!B:F,3,FALSE),"Non trouvé")</f>
        <v>Non trouvé</v>
      </c>
      <c r="I924" t="str">
        <f>IFERROR(VLOOKUP(C924,'Registre maintenance'!B:F,4,FALSE),"Non trouvé")</f>
        <v>Non trouvé</v>
      </c>
      <c r="J924" t="str">
        <f>IFERROR(VLOOKUP(C924,'Registre maintenance'!B:F,5,FALSE),"Non trouvé")</f>
        <v>Non trouvé</v>
      </c>
      <c r="K924" t="str">
        <f t="shared" si="142"/>
        <v>Mismatch</v>
      </c>
    </row>
    <row r="925" spans="1:11" x14ac:dyDescent="0.3">
      <c r="A925" t="s">
        <v>1407</v>
      </c>
      <c r="B925" s="1">
        <v>45225.432638888888</v>
      </c>
      <c r="C925" t="s">
        <v>964</v>
      </c>
      <c r="D925">
        <v>50</v>
      </c>
      <c r="E925" t="s">
        <v>795</v>
      </c>
      <c r="F925" s="4" t="str">
        <f t="shared" si="147"/>
        <v>Ituri</v>
      </c>
      <c r="G925" s="4" t="str">
        <f>IFERROR(VLOOKUP(C925,'Registre maintenance'!B:F,2,FALSE),"Non trouvé")</f>
        <v>Non trouvé</v>
      </c>
      <c r="H925" t="str">
        <f>IFERROR(VLOOKUP(C925,'Registre maintenance'!B:F,3,FALSE),"Non trouvé")</f>
        <v>Non trouvé</v>
      </c>
      <c r="I925" t="str">
        <f>IFERROR(VLOOKUP(C925,'Registre maintenance'!B:F,4,FALSE),"Non trouvé")</f>
        <v>Non trouvé</v>
      </c>
      <c r="J925" t="str">
        <f>IFERROR(VLOOKUP(C925,'Registre maintenance'!B:F,5,FALSE),"Non trouvé")</f>
        <v>Non trouvé</v>
      </c>
      <c r="K925" t="str">
        <f t="shared" si="142"/>
        <v>Mismatch</v>
      </c>
    </row>
    <row r="926" spans="1:11" x14ac:dyDescent="0.3">
      <c r="A926" t="s">
        <v>1407</v>
      </c>
      <c r="B926" s="1">
        <v>45208.762499999997</v>
      </c>
      <c r="C926" t="s">
        <v>1409</v>
      </c>
      <c r="D926">
        <v>101</v>
      </c>
      <c r="E926" t="s">
        <v>792</v>
      </c>
      <c r="F926" s="4" t="str">
        <f t="shared" si="147"/>
        <v>Ituri</v>
      </c>
      <c r="G926" s="4" t="str">
        <f>IFERROR(VLOOKUP(C926,'Registre maintenance'!B:F,2,FALSE),"Non trouvé")</f>
        <v>Non trouvé</v>
      </c>
      <c r="H926" t="str">
        <f>IFERROR(VLOOKUP(C926,'Registre maintenance'!B:F,3,FALSE),"Non trouvé")</f>
        <v>Non trouvé</v>
      </c>
      <c r="I926" t="str">
        <f>IFERROR(VLOOKUP(C926,'Registre maintenance'!B:F,4,FALSE),"Non trouvé")</f>
        <v>Non trouvé</v>
      </c>
      <c r="J926" t="str">
        <f>IFERROR(VLOOKUP(C926,'Registre maintenance'!B:F,5,FALSE),"Non trouvé")</f>
        <v>Non trouvé</v>
      </c>
      <c r="K926" t="str">
        <f t="shared" si="142"/>
        <v>Mismatch</v>
      </c>
    </row>
    <row r="927" spans="1:11" x14ac:dyDescent="0.3">
      <c r="A927" t="s">
        <v>1407</v>
      </c>
      <c r="B927" s="1">
        <v>45214.145833333343</v>
      </c>
      <c r="C927" t="s">
        <v>1041</v>
      </c>
      <c r="D927">
        <v>29</v>
      </c>
      <c r="E927" t="s">
        <v>797</v>
      </c>
      <c r="F927" s="4" t="str">
        <f t="shared" si="147"/>
        <v>Ituri</v>
      </c>
      <c r="G927" s="4" t="str">
        <f>IFERROR(VLOOKUP(C927,'Registre maintenance'!B:F,2,FALSE),"Non trouvé")</f>
        <v>Non trouvé</v>
      </c>
      <c r="H927" t="str">
        <f>IFERROR(VLOOKUP(C927,'Registre maintenance'!B:F,3,FALSE),"Non trouvé")</f>
        <v>Non trouvé</v>
      </c>
      <c r="I927" t="str">
        <f>IFERROR(VLOOKUP(C927,'Registre maintenance'!B:F,4,FALSE),"Non trouvé")</f>
        <v>Non trouvé</v>
      </c>
      <c r="J927" t="str">
        <f>IFERROR(VLOOKUP(C927,'Registre maintenance'!B:F,5,FALSE),"Non trouvé")</f>
        <v>Non trouvé</v>
      </c>
      <c r="K927" t="str">
        <f t="shared" si="142"/>
        <v>Mismatch</v>
      </c>
    </row>
    <row r="928" spans="1:11" x14ac:dyDescent="0.3">
      <c r="A928" t="s">
        <v>1407</v>
      </c>
      <c r="B928" s="1">
        <v>45201.859027777777</v>
      </c>
      <c r="C928" t="s">
        <v>1410</v>
      </c>
      <c r="D928">
        <v>26</v>
      </c>
      <c r="E928" t="s">
        <v>795</v>
      </c>
      <c r="F928" s="4" t="str">
        <f t="shared" si="147"/>
        <v>Ituri</v>
      </c>
      <c r="G928" s="4" t="str">
        <f>IFERROR(VLOOKUP(C928,'Registre maintenance'!B:F,2,FALSE),"Non trouvé")</f>
        <v>Non trouvé</v>
      </c>
      <c r="H928" t="str">
        <f>IFERROR(VLOOKUP(C928,'Registre maintenance'!B:F,3,FALSE),"Non trouvé")</f>
        <v>Non trouvé</v>
      </c>
      <c r="I928" t="str">
        <f>IFERROR(VLOOKUP(C928,'Registre maintenance'!B:F,4,FALSE),"Non trouvé")</f>
        <v>Non trouvé</v>
      </c>
      <c r="J928" t="str">
        <f>IFERROR(VLOOKUP(C928,'Registre maintenance'!B:F,5,FALSE),"Non trouvé")</f>
        <v>Non trouvé</v>
      </c>
      <c r="K928" t="str">
        <f t="shared" si="142"/>
        <v>Mismatch</v>
      </c>
    </row>
    <row r="929" spans="1:11" x14ac:dyDescent="0.3">
      <c r="A929" t="s">
        <v>1407</v>
      </c>
      <c r="B929" s="1">
        <v>45218.794444444437</v>
      </c>
      <c r="C929" t="s">
        <v>1411</v>
      </c>
      <c r="D929">
        <v>108</v>
      </c>
      <c r="E929" t="s">
        <v>792</v>
      </c>
      <c r="F929" s="4" t="str">
        <f t="shared" si="147"/>
        <v>Ituri</v>
      </c>
      <c r="G929" s="4" t="str">
        <f>IFERROR(VLOOKUP(C929,'Registre maintenance'!B:F,2,FALSE),"Non trouvé")</f>
        <v>Non trouvé</v>
      </c>
      <c r="H929" t="str">
        <f>IFERROR(VLOOKUP(C929,'Registre maintenance'!B:F,3,FALSE),"Non trouvé")</f>
        <v>Non trouvé</v>
      </c>
      <c r="I929" t="str">
        <f>IFERROR(VLOOKUP(C929,'Registre maintenance'!B:F,4,FALSE),"Non trouvé")</f>
        <v>Non trouvé</v>
      </c>
      <c r="J929" t="str">
        <f>IFERROR(VLOOKUP(C929,'Registre maintenance'!B:F,5,FALSE),"Non trouvé")</f>
        <v>Non trouvé</v>
      </c>
      <c r="K929" t="str">
        <f t="shared" si="142"/>
        <v>Mismatch</v>
      </c>
    </row>
    <row r="930" spans="1:11" x14ac:dyDescent="0.3">
      <c r="A930" t="s">
        <v>1407</v>
      </c>
      <c r="B930" s="1">
        <v>45215.272222222222</v>
      </c>
      <c r="C930" t="s">
        <v>1412</v>
      </c>
      <c r="D930">
        <v>56</v>
      </c>
      <c r="E930" t="s">
        <v>797</v>
      </c>
      <c r="F930" s="4" t="str">
        <f t="shared" si="147"/>
        <v>Ituri</v>
      </c>
      <c r="G930" s="4" t="str">
        <f>IFERROR(VLOOKUP(C930,'Registre maintenance'!B:F,2,FALSE),"Non trouvé")</f>
        <v>Non trouvé</v>
      </c>
      <c r="H930" t="str">
        <f>IFERROR(VLOOKUP(C930,'Registre maintenance'!B:F,3,FALSE),"Non trouvé")</f>
        <v>Non trouvé</v>
      </c>
      <c r="I930" t="str">
        <f>IFERROR(VLOOKUP(C930,'Registre maintenance'!B:F,4,FALSE),"Non trouvé")</f>
        <v>Non trouvé</v>
      </c>
      <c r="J930" t="str">
        <f>IFERROR(VLOOKUP(C930,'Registre maintenance'!B:F,5,FALSE),"Non trouvé")</f>
        <v>Non trouvé</v>
      </c>
      <c r="K930" t="str">
        <f t="shared" si="142"/>
        <v>Mismatch</v>
      </c>
    </row>
    <row r="931" spans="1:11" x14ac:dyDescent="0.3">
      <c r="A931" t="s">
        <v>1407</v>
      </c>
      <c r="B931" s="1">
        <v>45203.89166666667</v>
      </c>
      <c r="C931" t="s">
        <v>963</v>
      </c>
      <c r="D931">
        <v>7</v>
      </c>
      <c r="E931" t="s">
        <v>795</v>
      </c>
      <c r="F931" s="4" t="str">
        <f t="shared" si="147"/>
        <v>Ituri</v>
      </c>
      <c r="G931" s="4" t="str">
        <f>IFERROR(VLOOKUP(C931,'Registre maintenance'!B:F,2,FALSE),"Non trouvé")</f>
        <v>Non trouvé</v>
      </c>
      <c r="H931" t="str">
        <f>IFERROR(VLOOKUP(C931,'Registre maintenance'!B:F,3,FALSE),"Non trouvé")</f>
        <v>Non trouvé</v>
      </c>
      <c r="I931" t="str">
        <f>IFERROR(VLOOKUP(C931,'Registre maintenance'!B:F,4,FALSE),"Non trouvé")</f>
        <v>Non trouvé</v>
      </c>
      <c r="J931" t="str">
        <f>IFERROR(VLOOKUP(C931,'Registre maintenance'!B:F,5,FALSE),"Non trouvé")</f>
        <v>Non trouvé</v>
      </c>
      <c r="K931" t="str">
        <f t="shared" si="142"/>
        <v>Mismatch</v>
      </c>
    </row>
    <row r="932" spans="1:11" x14ac:dyDescent="0.3">
      <c r="A932" t="s">
        <v>1407</v>
      </c>
      <c r="B932" s="1">
        <v>45216.393055555563</v>
      </c>
      <c r="C932" t="s">
        <v>1413</v>
      </c>
      <c r="D932">
        <v>34</v>
      </c>
      <c r="E932" t="s">
        <v>797</v>
      </c>
      <c r="F932" s="4" t="str">
        <f t="shared" si="147"/>
        <v>Ituri</v>
      </c>
      <c r="G932" s="4" t="str">
        <f>IFERROR(VLOOKUP(C932,'Registre maintenance'!B:F,2,FALSE),"Non trouvé")</f>
        <v>Non trouvé</v>
      </c>
      <c r="H932" t="str">
        <f>IFERROR(VLOOKUP(C932,'Registre maintenance'!B:F,3,FALSE),"Non trouvé")</f>
        <v>Non trouvé</v>
      </c>
      <c r="I932" t="str">
        <f>IFERROR(VLOOKUP(C932,'Registre maintenance'!B:F,4,FALSE),"Non trouvé")</f>
        <v>Non trouvé</v>
      </c>
      <c r="J932" t="str">
        <f>IFERROR(VLOOKUP(C932,'Registre maintenance'!B:F,5,FALSE),"Non trouvé")</f>
        <v>Non trouvé</v>
      </c>
      <c r="K932" t="str">
        <f t="shared" si="142"/>
        <v>Mismatch</v>
      </c>
    </row>
    <row r="933" spans="1:11" x14ac:dyDescent="0.3">
      <c r="A933" t="s">
        <v>1407</v>
      </c>
      <c r="B933" s="1">
        <v>45201.172222222223</v>
      </c>
      <c r="C933" t="s">
        <v>1414</v>
      </c>
      <c r="D933">
        <v>33</v>
      </c>
      <c r="E933" t="s">
        <v>797</v>
      </c>
      <c r="F933" s="4" t="str">
        <f t="shared" si="147"/>
        <v>Ituri</v>
      </c>
      <c r="G933" s="4" t="str">
        <f>IFERROR(VLOOKUP(C933,'Registre maintenance'!B:F,2,FALSE),"Non trouvé")</f>
        <v>Nord-Ubangi</v>
      </c>
      <c r="H933">
        <f>IFERROR(VLOOKUP(C933,'Registre maintenance'!B:F,3,FALSE),"Non trouvé")</f>
        <v>-7.9987219999999999</v>
      </c>
      <c r="I933">
        <f>IFERROR(VLOOKUP(C933,'Registre maintenance'!B:F,4,FALSE),"Non trouvé")</f>
        <v>12.779335</v>
      </c>
      <c r="J933" t="str">
        <f>IFERROR(VLOOKUP(C933,'Registre maintenance'!B:F,5,FALSE),"Non trouvé")</f>
        <v>5G</v>
      </c>
      <c r="K933" t="str">
        <f t="shared" si="142"/>
        <v>Mismatch</v>
      </c>
    </row>
    <row r="934" spans="1:11" x14ac:dyDescent="0.3">
      <c r="A934" t="s">
        <v>1407</v>
      </c>
      <c r="B934" s="1">
        <v>45206.43472222222</v>
      </c>
      <c r="C934" t="s">
        <v>815</v>
      </c>
      <c r="D934">
        <v>98</v>
      </c>
      <c r="E934" t="s">
        <v>792</v>
      </c>
      <c r="F934" s="4" t="str">
        <f t="shared" si="147"/>
        <v>Ituri</v>
      </c>
      <c r="G934" s="4" t="str">
        <f>IFERROR(VLOOKUP(C934,'Registre maintenance'!B:F,2,FALSE),"Non trouvé")</f>
        <v>Non trouvé</v>
      </c>
      <c r="H934" t="str">
        <f>IFERROR(VLOOKUP(C934,'Registre maintenance'!B:F,3,FALSE),"Non trouvé")</f>
        <v>Non trouvé</v>
      </c>
      <c r="I934" t="str">
        <f>IFERROR(VLOOKUP(C934,'Registre maintenance'!B:F,4,FALSE),"Non trouvé")</f>
        <v>Non trouvé</v>
      </c>
      <c r="J934" t="str">
        <f>IFERROR(VLOOKUP(C934,'Registre maintenance'!B:F,5,FALSE),"Non trouvé")</f>
        <v>Non trouvé</v>
      </c>
      <c r="K934" t="str">
        <f t="shared" si="142"/>
        <v>Mismatch</v>
      </c>
    </row>
    <row r="935" spans="1:11" x14ac:dyDescent="0.3">
      <c r="A935" t="s">
        <v>1407</v>
      </c>
      <c r="B935" s="1">
        <v>45218.589583333327</v>
      </c>
      <c r="C935" t="s">
        <v>1308</v>
      </c>
      <c r="D935">
        <v>21</v>
      </c>
      <c r="E935" t="s">
        <v>792</v>
      </c>
      <c r="F935" s="4" t="s">
        <v>20</v>
      </c>
      <c r="G935" s="4" t="str">
        <f>IFERROR(VLOOKUP(C935,'Registre maintenance'!B:F,2,FALSE),"Non trouvé")</f>
        <v>Sud-Kivu</v>
      </c>
      <c r="H935">
        <f>IFERROR(VLOOKUP(C935,'Registre maintenance'!B:F,3,FALSE),"Non trouvé")</f>
        <v>-11.514817000000001</v>
      </c>
      <c r="I935">
        <f>IFERROR(VLOOKUP(C935,'Registre maintenance'!B:F,4,FALSE),"Non trouvé")</f>
        <v>24.891375</v>
      </c>
      <c r="J935" t="str">
        <f>IFERROR(VLOOKUP(C935,'Registre maintenance'!B:F,5,FALSE),"Non trouvé")</f>
        <v>3G</v>
      </c>
      <c r="K935" t="str">
        <f t="shared" si="142"/>
        <v>OK</v>
      </c>
    </row>
    <row r="936" spans="1:11" x14ac:dyDescent="0.3">
      <c r="A936" t="s">
        <v>1407</v>
      </c>
      <c r="B936" s="1">
        <v>45210.924305555563</v>
      </c>
      <c r="C936" t="s">
        <v>1415</v>
      </c>
      <c r="D936">
        <v>32</v>
      </c>
      <c r="E936" t="s">
        <v>795</v>
      </c>
      <c r="F936" s="4" t="str">
        <f>F935</f>
        <v>Sud-Kivu</v>
      </c>
      <c r="G936" s="4" t="str">
        <f>IFERROR(VLOOKUP(C936,'Registre maintenance'!B:F,2,FALSE),"Non trouvé")</f>
        <v>Non trouvé</v>
      </c>
      <c r="H936" t="str">
        <f>IFERROR(VLOOKUP(C936,'Registre maintenance'!B:F,3,FALSE),"Non trouvé")</f>
        <v>Non trouvé</v>
      </c>
      <c r="I936" t="str">
        <f>IFERROR(VLOOKUP(C936,'Registre maintenance'!B:F,4,FALSE),"Non trouvé")</f>
        <v>Non trouvé</v>
      </c>
      <c r="J936" t="str">
        <f>IFERROR(VLOOKUP(C936,'Registre maintenance'!B:F,5,FALSE),"Non trouvé")</f>
        <v>Non trouvé</v>
      </c>
      <c r="K936" t="str">
        <f t="shared" si="142"/>
        <v>Mismatch</v>
      </c>
    </row>
    <row r="937" spans="1:11" x14ac:dyDescent="0.3">
      <c r="A937" t="s">
        <v>1407</v>
      </c>
      <c r="B937" s="1">
        <v>45224.104861111111</v>
      </c>
      <c r="C937" t="s">
        <v>1416</v>
      </c>
      <c r="D937">
        <v>98</v>
      </c>
      <c r="E937" t="s">
        <v>797</v>
      </c>
      <c r="F937" s="4" t="s">
        <v>36</v>
      </c>
      <c r="G937" s="4" t="str">
        <f>IFERROR(VLOOKUP(C937,'Registre maintenance'!B:F,2,FALSE),"Non trouvé")</f>
        <v>Tanganyika</v>
      </c>
      <c r="H937">
        <f>IFERROR(VLOOKUP(C937,'Registre maintenance'!B:F,3,FALSE),"Non trouvé")</f>
        <v>-7.0007840000000003</v>
      </c>
      <c r="I937">
        <f>IFERROR(VLOOKUP(C937,'Registre maintenance'!B:F,4,FALSE),"Non trouvé")</f>
        <v>22.787997000000001</v>
      </c>
      <c r="J937" t="str">
        <f>IFERROR(VLOOKUP(C937,'Registre maintenance'!B:F,5,FALSE),"Non trouvé")</f>
        <v>5G</v>
      </c>
      <c r="K937" t="str">
        <f t="shared" si="142"/>
        <v>OK</v>
      </c>
    </row>
    <row r="938" spans="1:11" x14ac:dyDescent="0.3">
      <c r="A938" t="s">
        <v>1407</v>
      </c>
      <c r="B938" s="1">
        <v>45210.84097222222</v>
      </c>
      <c r="C938" t="s">
        <v>996</v>
      </c>
      <c r="D938">
        <v>7</v>
      </c>
      <c r="E938" t="s">
        <v>792</v>
      </c>
      <c r="F938" s="4" t="str">
        <f t="shared" ref="F938:F940" si="148">F937</f>
        <v>Tanganyika</v>
      </c>
      <c r="G938" s="4" t="str">
        <f>IFERROR(VLOOKUP(C938,'Registre maintenance'!B:F,2,FALSE),"Non trouvé")</f>
        <v>Non trouvé</v>
      </c>
      <c r="H938" t="str">
        <f>IFERROR(VLOOKUP(C938,'Registre maintenance'!B:F,3,FALSE),"Non trouvé")</f>
        <v>Non trouvé</v>
      </c>
      <c r="I938" t="str">
        <f>IFERROR(VLOOKUP(C938,'Registre maintenance'!B:F,4,FALSE),"Non trouvé")</f>
        <v>Non trouvé</v>
      </c>
      <c r="J938" t="str">
        <f>IFERROR(VLOOKUP(C938,'Registre maintenance'!B:F,5,FALSE),"Non trouvé")</f>
        <v>Non trouvé</v>
      </c>
      <c r="K938" t="str">
        <f t="shared" si="142"/>
        <v>Mismatch</v>
      </c>
    </row>
    <row r="939" spans="1:11" x14ac:dyDescent="0.3">
      <c r="A939" t="s">
        <v>1407</v>
      </c>
      <c r="B939" s="1">
        <v>45210.835416666669</v>
      </c>
      <c r="C939" t="s">
        <v>865</v>
      </c>
      <c r="D939">
        <v>80</v>
      </c>
      <c r="E939" t="s">
        <v>795</v>
      </c>
      <c r="F939" s="4" t="str">
        <f t="shared" si="148"/>
        <v>Tanganyika</v>
      </c>
      <c r="G939" s="4" t="str">
        <f>IFERROR(VLOOKUP(C939,'Registre maintenance'!B:F,2,FALSE),"Non trouvé")</f>
        <v>Non trouvé</v>
      </c>
      <c r="H939" t="str">
        <f>IFERROR(VLOOKUP(C939,'Registre maintenance'!B:F,3,FALSE),"Non trouvé")</f>
        <v>Non trouvé</v>
      </c>
      <c r="I939" t="str">
        <f>IFERROR(VLOOKUP(C939,'Registre maintenance'!B:F,4,FALSE),"Non trouvé")</f>
        <v>Non trouvé</v>
      </c>
      <c r="J939" t="str">
        <f>IFERROR(VLOOKUP(C939,'Registre maintenance'!B:F,5,FALSE),"Non trouvé")</f>
        <v>Non trouvé</v>
      </c>
      <c r="K939" t="str">
        <f t="shared" si="142"/>
        <v>Mismatch</v>
      </c>
    </row>
    <row r="940" spans="1:11" x14ac:dyDescent="0.3">
      <c r="A940" t="s">
        <v>1407</v>
      </c>
      <c r="B940" s="1">
        <v>45200.595138888893</v>
      </c>
      <c r="C940" t="s">
        <v>1307</v>
      </c>
      <c r="D940">
        <v>69</v>
      </c>
      <c r="E940" t="s">
        <v>797</v>
      </c>
      <c r="F940" s="4" t="str">
        <f t="shared" si="148"/>
        <v>Tanganyika</v>
      </c>
      <c r="G940" s="4" t="str">
        <f>IFERROR(VLOOKUP(C940,'Registre maintenance'!B:F,2,FALSE),"Non trouvé")</f>
        <v>Non trouvé</v>
      </c>
      <c r="H940" t="str">
        <f>IFERROR(VLOOKUP(C940,'Registre maintenance'!B:F,3,FALSE),"Non trouvé")</f>
        <v>Non trouvé</v>
      </c>
      <c r="I940" t="str">
        <f>IFERROR(VLOOKUP(C940,'Registre maintenance'!B:F,4,FALSE),"Non trouvé")</f>
        <v>Non trouvé</v>
      </c>
      <c r="J940" t="str">
        <f>IFERROR(VLOOKUP(C940,'Registre maintenance'!B:F,5,FALSE),"Non trouvé")</f>
        <v>Non trouvé</v>
      </c>
      <c r="K940" t="str">
        <f t="shared" si="142"/>
        <v>Mismatch</v>
      </c>
    </row>
    <row r="941" spans="1:11" x14ac:dyDescent="0.3">
      <c r="A941" t="s">
        <v>1407</v>
      </c>
      <c r="B941" s="1">
        <v>45206.23333333333</v>
      </c>
      <c r="C941" t="s">
        <v>1417</v>
      </c>
      <c r="D941">
        <v>26</v>
      </c>
      <c r="E941" t="s">
        <v>797</v>
      </c>
      <c r="F941" s="4" t="s">
        <v>43</v>
      </c>
      <c r="G941" s="4" t="str">
        <f>IFERROR(VLOOKUP(C941,'Registre maintenance'!B:F,2,FALSE),"Non trouvé")</f>
        <v>Mai-Ndombe</v>
      </c>
      <c r="H941">
        <f>IFERROR(VLOOKUP(C941,'Registre maintenance'!B:F,3,FALSE),"Non trouvé")</f>
        <v>-4.6311460000000002</v>
      </c>
      <c r="I941">
        <f>IFERROR(VLOOKUP(C941,'Registre maintenance'!B:F,4,FALSE),"Non trouvé")</f>
        <v>25.314723000000001</v>
      </c>
      <c r="J941" t="str">
        <f>IFERROR(VLOOKUP(C941,'Registre maintenance'!B:F,5,FALSE),"Non trouvé")</f>
        <v>4G</v>
      </c>
      <c r="K941" t="str">
        <f t="shared" si="142"/>
        <v>OK</v>
      </c>
    </row>
    <row r="942" spans="1:11" x14ac:dyDescent="0.3">
      <c r="A942" t="s">
        <v>1407</v>
      </c>
      <c r="B942" s="1">
        <v>45224.229861111111</v>
      </c>
      <c r="C942" t="s">
        <v>1418</v>
      </c>
      <c r="D942">
        <v>20</v>
      </c>
      <c r="E942" t="s">
        <v>792</v>
      </c>
      <c r="F942" s="4" t="s">
        <v>129</v>
      </c>
      <c r="G942" s="4" t="str">
        <f>IFERROR(VLOOKUP(C942,'Registre maintenance'!B:F,2,FALSE),"Non trouvé")</f>
        <v>Nord-Kivu</v>
      </c>
      <c r="H942">
        <f>IFERROR(VLOOKUP(C942,'Registre maintenance'!B:F,3,FALSE),"Non trouvé")</f>
        <v>-10.298385</v>
      </c>
      <c r="I942">
        <f>IFERROR(VLOOKUP(C942,'Registre maintenance'!B:F,4,FALSE),"Non trouvé")</f>
        <v>29.698117</v>
      </c>
      <c r="J942" t="str">
        <f>IFERROR(VLOOKUP(C942,'Registre maintenance'!B:F,5,FALSE),"Non trouvé")</f>
        <v>5G</v>
      </c>
      <c r="K942" t="str">
        <f t="shared" si="142"/>
        <v>OK</v>
      </c>
    </row>
    <row r="943" spans="1:11" x14ac:dyDescent="0.3">
      <c r="A943" t="s">
        <v>1407</v>
      </c>
      <c r="B943" s="1">
        <v>45225.088888888888</v>
      </c>
      <c r="C943" t="s">
        <v>1419</v>
      </c>
      <c r="D943">
        <v>51</v>
      </c>
      <c r="E943" t="s">
        <v>792</v>
      </c>
      <c r="F943" s="4" t="str">
        <f>F942</f>
        <v>Nord-Kivu</v>
      </c>
      <c r="G943" s="4" t="str">
        <f>IFERROR(VLOOKUP(C943,'Registre maintenance'!B:F,2,FALSE),"Non trouvé")</f>
        <v>Non trouvé</v>
      </c>
      <c r="H943" t="str">
        <f>IFERROR(VLOOKUP(C943,'Registre maintenance'!B:F,3,FALSE),"Non trouvé")</f>
        <v>Non trouvé</v>
      </c>
      <c r="I943" t="str">
        <f>IFERROR(VLOOKUP(C943,'Registre maintenance'!B:F,4,FALSE),"Non trouvé")</f>
        <v>Non trouvé</v>
      </c>
      <c r="J943" t="str">
        <f>IFERROR(VLOOKUP(C943,'Registre maintenance'!B:F,5,FALSE),"Non trouvé")</f>
        <v>Non trouvé</v>
      </c>
      <c r="K943" t="str">
        <f t="shared" si="142"/>
        <v>Mismatch</v>
      </c>
    </row>
    <row r="944" spans="1:11" x14ac:dyDescent="0.3">
      <c r="A944" t="s">
        <v>1407</v>
      </c>
      <c r="B944" s="1">
        <v>45219.569444444453</v>
      </c>
      <c r="C944" t="s">
        <v>1347</v>
      </c>
      <c r="D944">
        <v>96</v>
      </c>
      <c r="E944" t="s">
        <v>792</v>
      </c>
      <c r="F944" s="4" t="s">
        <v>61</v>
      </c>
      <c r="G944" s="4" t="str">
        <f>IFERROR(VLOOKUP(C944,'Registre maintenance'!B:F,2,FALSE),"Non trouvé")</f>
        <v>Kongo-Central</v>
      </c>
      <c r="H944">
        <f>IFERROR(VLOOKUP(C944,'Registre maintenance'!B:F,3,FALSE),"Non trouvé")</f>
        <v>-7.1587569999999996</v>
      </c>
      <c r="I944">
        <f>IFERROR(VLOOKUP(C944,'Registre maintenance'!B:F,4,FALSE),"Non trouvé")</f>
        <v>18.975141000000001</v>
      </c>
      <c r="J944" t="str">
        <f>IFERROR(VLOOKUP(C944,'Registre maintenance'!B:F,5,FALSE),"Non trouvé")</f>
        <v>5G</v>
      </c>
      <c r="K944" t="str">
        <f t="shared" si="142"/>
        <v>OK</v>
      </c>
    </row>
    <row r="945" spans="1:11" x14ac:dyDescent="0.3">
      <c r="A945" t="s">
        <v>1407</v>
      </c>
      <c r="B945" s="1">
        <v>45213.518750000003</v>
      </c>
      <c r="C945" t="s">
        <v>1332</v>
      </c>
      <c r="D945">
        <v>88</v>
      </c>
      <c r="E945" t="s">
        <v>795</v>
      </c>
      <c r="F945" s="4" t="s">
        <v>66</v>
      </c>
      <c r="G945" s="4" t="str">
        <f>IFERROR(VLOOKUP(C945,'Registre maintenance'!B:F,2,FALSE),"Non trouvé")</f>
        <v>Lomami</v>
      </c>
      <c r="H945">
        <f>IFERROR(VLOOKUP(C945,'Registre maintenance'!B:F,3,FALSE),"Non trouvé")</f>
        <v>4.8265669999999998</v>
      </c>
      <c r="I945">
        <f>IFERROR(VLOOKUP(C945,'Registre maintenance'!B:F,4,FALSE),"Non trouvé")</f>
        <v>28.535277000000001</v>
      </c>
      <c r="J945" t="str">
        <f>IFERROR(VLOOKUP(C945,'Registre maintenance'!B:F,5,FALSE),"Non trouvé")</f>
        <v>3G</v>
      </c>
      <c r="K945" t="str">
        <f t="shared" si="142"/>
        <v>OK</v>
      </c>
    </row>
    <row r="946" spans="1:11" x14ac:dyDescent="0.3">
      <c r="A946" t="s">
        <v>1407</v>
      </c>
      <c r="B946" s="1">
        <v>45230.64166666667</v>
      </c>
      <c r="C946" t="s">
        <v>1420</v>
      </c>
      <c r="D946">
        <v>106</v>
      </c>
      <c r="E946" t="s">
        <v>792</v>
      </c>
      <c r="F946" s="4" t="str">
        <f t="shared" ref="F946:F947" si="149">F945</f>
        <v>Lomami</v>
      </c>
      <c r="G946" s="4" t="str">
        <f>IFERROR(VLOOKUP(C946,'Registre maintenance'!B:F,2,FALSE),"Non trouvé")</f>
        <v>Non trouvé</v>
      </c>
      <c r="H946" t="str">
        <f>IFERROR(VLOOKUP(C946,'Registre maintenance'!B:F,3,FALSE),"Non trouvé")</f>
        <v>Non trouvé</v>
      </c>
      <c r="I946" t="str">
        <f>IFERROR(VLOOKUP(C946,'Registre maintenance'!B:F,4,FALSE),"Non trouvé")</f>
        <v>Non trouvé</v>
      </c>
      <c r="J946" t="str">
        <f>IFERROR(VLOOKUP(C946,'Registre maintenance'!B:F,5,FALSE),"Non trouvé")</f>
        <v>Non trouvé</v>
      </c>
      <c r="K946" t="str">
        <f t="shared" si="142"/>
        <v>Mismatch</v>
      </c>
    </row>
    <row r="947" spans="1:11" x14ac:dyDescent="0.3">
      <c r="A947" t="s">
        <v>1407</v>
      </c>
      <c r="B947" s="1">
        <v>45200.06527777778</v>
      </c>
      <c r="C947" t="s">
        <v>981</v>
      </c>
      <c r="D947">
        <v>9</v>
      </c>
      <c r="E947" t="s">
        <v>792</v>
      </c>
      <c r="F947" s="4" t="str">
        <f t="shared" si="149"/>
        <v>Lomami</v>
      </c>
      <c r="G947" s="4" t="str">
        <f>IFERROR(VLOOKUP(C947,'Registre maintenance'!B:F,2,FALSE),"Non trouvé")</f>
        <v>Non trouvé</v>
      </c>
      <c r="H947" t="str">
        <f>IFERROR(VLOOKUP(C947,'Registre maintenance'!B:F,3,FALSE),"Non trouvé")</f>
        <v>Non trouvé</v>
      </c>
      <c r="I947" t="str">
        <f>IFERROR(VLOOKUP(C947,'Registre maintenance'!B:F,4,FALSE),"Non trouvé")</f>
        <v>Non trouvé</v>
      </c>
      <c r="J947" t="str">
        <f>IFERROR(VLOOKUP(C947,'Registre maintenance'!B:F,5,FALSE),"Non trouvé")</f>
        <v>Non trouvé</v>
      </c>
      <c r="K947" t="str">
        <f t="shared" si="142"/>
        <v>Mismatch</v>
      </c>
    </row>
    <row r="948" spans="1:11" x14ac:dyDescent="0.3">
      <c r="A948" t="s">
        <v>1407</v>
      </c>
      <c r="B948" s="1">
        <v>45206.974305555559</v>
      </c>
      <c r="C948" t="s">
        <v>1421</v>
      </c>
      <c r="D948">
        <v>53</v>
      </c>
      <c r="E948" t="s">
        <v>795</v>
      </c>
      <c r="F948" s="4" t="s">
        <v>23</v>
      </c>
      <c r="G948" s="4" t="str">
        <f>IFERROR(VLOOKUP(C948,'Registre maintenance'!B:F,2,FALSE),"Non trouvé")</f>
        <v>Haut-Katanga</v>
      </c>
      <c r="H948">
        <f>IFERROR(VLOOKUP(C948,'Registre maintenance'!B:F,3,FALSE),"Non trouvé")</f>
        <v>-2.926736</v>
      </c>
      <c r="I948">
        <f>IFERROR(VLOOKUP(C948,'Registre maintenance'!B:F,4,FALSE),"Non trouvé")</f>
        <v>18.170461</v>
      </c>
      <c r="J948" t="str">
        <f>IFERROR(VLOOKUP(C948,'Registre maintenance'!B:F,5,FALSE),"Non trouvé")</f>
        <v>5G</v>
      </c>
      <c r="K948" t="str">
        <f t="shared" si="142"/>
        <v>OK</v>
      </c>
    </row>
    <row r="949" spans="1:11" x14ac:dyDescent="0.3">
      <c r="A949" t="s">
        <v>1407</v>
      </c>
      <c r="B949" s="1">
        <v>45230.039583333331</v>
      </c>
      <c r="C949" t="s">
        <v>1334</v>
      </c>
      <c r="D949">
        <v>117</v>
      </c>
      <c r="E949" t="s">
        <v>795</v>
      </c>
      <c r="F949" s="4" t="str">
        <f t="shared" ref="F949:F952" si="150">F948</f>
        <v>Haut-Katanga</v>
      </c>
      <c r="G949" s="4" t="str">
        <f>IFERROR(VLOOKUP(C949,'Registre maintenance'!B:F,2,FALSE),"Non trouvé")</f>
        <v>Non trouvé</v>
      </c>
      <c r="H949" t="str">
        <f>IFERROR(VLOOKUP(C949,'Registre maintenance'!B:F,3,FALSE),"Non trouvé")</f>
        <v>Non trouvé</v>
      </c>
      <c r="I949" t="str">
        <f>IFERROR(VLOOKUP(C949,'Registre maintenance'!B:F,4,FALSE),"Non trouvé")</f>
        <v>Non trouvé</v>
      </c>
      <c r="J949" t="str">
        <f>IFERROR(VLOOKUP(C949,'Registre maintenance'!B:F,5,FALSE),"Non trouvé")</f>
        <v>Non trouvé</v>
      </c>
      <c r="K949" t="str">
        <f t="shared" si="142"/>
        <v>Mismatch</v>
      </c>
    </row>
    <row r="950" spans="1:11" x14ac:dyDescent="0.3">
      <c r="A950" t="s">
        <v>1407</v>
      </c>
      <c r="B950" s="1">
        <v>45210.675000000003</v>
      </c>
      <c r="C950" t="s">
        <v>1004</v>
      </c>
      <c r="D950">
        <v>86</v>
      </c>
      <c r="E950" t="s">
        <v>797</v>
      </c>
      <c r="F950" s="4" t="str">
        <f t="shared" si="150"/>
        <v>Haut-Katanga</v>
      </c>
      <c r="G950" s="4" t="str">
        <f>IFERROR(VLOOKUP(C950,'Registre maintenance'!B:F,2,FALSE),"Non trouvé")</f>
        <v>Non trouvé</v>
      </c>
      <c r="H950" t="str">
        <f>IFERROR(VLOOKUP(C950,'Registre maintenance'!B:F,3,FALSE),"Non trouvé")</f>
        <v>Non trouvé</v>
      </c>
      <c r="I950" t="str">
        <f>IFERROR(VLOOKUP(C950,'Registre maintenance'!B:F,4,FALSE),"Non trouvé")</f>
        <v>Non trouvé</v>
      </c>
      <c r="J950" t="str">
        <f>IFERROR(VLOOKUP(C950,'Registre maintenance'!B:F,5,FALSE),"Non trouvé")</f>
        <v>Non trouvé</v>
      </c>
      <c r="K950" t="str">
        <f t="shared" si="142"/>
        <v>Mismatch</v>
      </c>
    </row>
    <row r="951" spans="1:11" x14ac:dyDescent="0.3">
      <c r="A951" t="s">
        <v>1407</v>
      </c>
      <c r="B951" s="1">
        <v>45200.875</v>
      </c>
      <c r="D951">
        <v>37</v>
      </c>
      <c r="E951" t="s">
        <v>792</v>
      </c>
      <c r="F951" s="4" t="str">
        <f t="shared" si="150"/>
        <v>Haut-Katanga</v>
      </c>
      <c r="G951" s="4" t="str">
        <f>IFERROR(VLOOKUP(C951,'Registre maintenance'!B:F,2,FALSE),"Non trouvé")</f>
        <v>Non trouvé</v>
      </c>
      <c r="H951" t="str">
        <f>IFERROR(VLOOKUP(C951,'Registre maintenance'!B:F,3,FALSE),"Non trouvé")</f>
        <v>Non trouvé</v>
      </c>
      <c r="I951" t="str">
        <f>IFERROR(VLOOKUP(C951,'Registre maintenance'!B:F,4,FALSE),"Non trouvé")</f>
        <v>Non trouvé</v>
      </c>
      <c r="J951" t="str">
        <f>IFERROR(VLOOKUP(C951,'Registre maintenance'!B:F,5,FALSE),"Non trouvé")</f>
        <v>Non trouvé</v>
      </c>
      <c r="K951" t="str">
        <f t="shared" si="142"/>
        <v>Mismatch</v>
      </c>
    </row>
    <row r="952" spans="1:11" x14ac:dyDescent="0.3">
      <c r="A952" t="s">
        <v>1407</v>
      </c>
      <c r="B952" s="1">
        <v>45220.96875</v>
      </c>
      <c r="C952" t="s">
        <v>896</v>
      </c>
      <c r="D952">
        <v>103</v>
      </c>
      <c r="E952" t="s">
        <v>792</v>
      </c>
      <c r="F952" s="4" t="str">
        <f t="shared" si="150"/>
        <v>Haut-Katanga</v>
      </c>
      <c r="G952" s="4" t="str">
        <f>IFERROR(VLOOKUP(C952,'Registre maintenance'!B:F,2,FALSE),"Non trouvé")</f>
        <v>Non trouvé</v>
      </c>
      <c r="H952" t="str">
        <f>IFERROR(VLOOKUP(C952,'Registre maintenance'!B:F,3,FALSE),"Non trouvé")</f>
        <v>Non trouvé</v>
      </c>
      <c r="I952" t="str">
        <f>IFERROR(VLOOKUP(C952,'Registre maintenance'!B:F,4,FALSE),"Non trouvé")</f>
        <v>Non trouvé</v>
      </c>
      <c r="J952" t="str">
        <f>IFERROR(VLOOKUP(C952,'Registre maintenance'!B:F,5,FALSE),"Non trouvé")</f>
        <v>Non trouvé</v>
      </c>
      <c r="K952" t="str">
        <f t="shared" si="142"/>
        <v>Mismatch</v>
      </c>
    </row>
    <row r="953" spans="1:11" x14ac:dyDescent="0.3">
      <c r="A953" t="s">
        <v>1407</v>
      </c>
      <c r="B953" s="1">
        <v>45207.955555555563</v>
      </c>
      <c r="C953" t="s">
        <v>1043</v>
      </c>
      <c r="D953">
        <v>73</v>
      </c>
      <c r="E953" t="s">
        <v>795</v>
      </c>
      <c r="F953" s="4" t="s">
        <v>23</v>
      </c>
      <c r="G953" s="4" t="str">
        <f>IFERROR(VLOOKUP(C953,'Registre maintenance'!B:F,2,FALSE),"Non trouvé")</f>
        <v>Haut-Katanga</v>
      </c>
      <c r="H953">
        <f>IFERROR(VLOOKUP(C953,'Registre maintenance'!B:F,3,FALSE),"Non trouvé")</f>
        <v>2.016505</v>
      </c>
      <c r="I953">
        <f>IFERROR(VLOOKUP(C953,'Registre maintenance'!B:F,4,FALSE),"Non trouvé")</f>
        <v>14.294164</v>
      </c>
      <c r="J953" t="str">
        <f>IFERROR(VLOOKUP(C953,'Registre maintenance'!B:F,5,FALSE),"Non trouvé")</f>
        <v>5G</v>
      </c>
      <c r="K953" t="str">
        <f t="shared" si="142"/>
        <v>OK</v>
      </c>
    </row>
    <row r="954" spans="1:11" x14ac:dyDescent="0.3">
      <c r="A954" t="s">
        <v>1407</v>
      </c>
      <c r="B954" s="1">
        <v>45211.380555555559</v>
      </c>
      <c r="C954" t="s">
        <v>1422</v>
      </c>
      <c r="D954">
        <v>84</v>
      </c>
      <c r="E954" t="s">
        <v>792</v>
      </c>
      <c r="F954" s="4" t="str">
        <f>F953</f>
        <v>Haut-Katanga</v>
      </c>
      <c r="G954" s="4" t="str">
        <f>IFERROR(VLOOKUP(C954,'Registre maintenance'!B:F,2,FALSE),"Non trouvé")</f>
        <v>Non trouvé</v>
      </c>
      <c r="H954" t="str">
        <f>IFERROR(VLOOKUP(C954,'Registre maintenance'!B:F,3,FALSE),"Non trouvé")</f>
        <v>Non trouvé</v>
      </c>
      <c r="I954" t="str">
        <f>IFERROR(VLOOKUP(C954,'Registre maintenance'!B:F,4,FALSE),"Non trouvé")</f>
        <v>Non trouvé</v>
      </c>
      <c r="J954" t="str">
        <f>IFERROR(VLOOKUP(C954,'Registre maintenance'!B:F,5,FALSE),"Non trouvé")</f>
        <v>Non trouvé</v>
      </c>
      <c r="K954" t="str">
        <f t="shared" si="142"/>
        <v>Mismatch</v>
      </c>
    </row>
    <row r="955" spans="1:11" x14ac:dyDescent="0.3">
      <c r="A955" t="s">
        <v>1407</v>
      </c>
      <c r="B955" s="1">
        <v>45203.522222222222</v>
      </c>
      <c r="C955" t="s">
        <v>1288</v>
      </c>
      <c r="D955">
        <v>11</v>
      </c>
      <c r="E955" t="s">
        <v>795</v>
      </c>
      <c r="F955" s="4" t="s">
        <v>50</v>
      </c>
      <c r="G955" s="4" t="str">
        <f>IFERROR(VLOOKUP(C955,'Registre maintenance'!B:F,2,FALSE),"Non trouvé")</f>
        <v>Kwilu</v>
      </c>
      <c r="H955">
        <f>IFERROR(VLOOKUP(C955,'Registre maintenance'!B:F,3,FALSE),"Non trouvé")</f>
        <v>-7.402336</v>
      </c>
      <c r="I955">
        <f>IFERROR(VLOOKUP(C955,'Registre maintenance'!B:F,4,FALSE),"Non trouvé")</f>
        <v>27.376697</v>
      </c>
      <c r="J955" t="str">
        <f>IFERROR(VLOOKUP(C955,'Registre maintenance'!B:F,5,FALSE),"Non trouvé")</f>
        <v>4G</v>
      </c>
      <c r="K955" t="str">
        <f t="shared" si="142"/>
        <v>OK</v>
      </c>
    </row>
    <row r="956" spans="1:11" x14ac:dyDescent="0.3">
      <c r="A956" t="s">
        <v>1407</v>
      </c>
      <c r="B956" s="1">
        <v>45218.381944444453</v>
      </c>
      <c r="C956" t="s">
        <v>799</v>
      </c>
      <c r="D956">
        <v>81</v>
      </c>
      <c r="E956" t="s">
        <v>795</v>
      </c>
      <c r="F956" s="4" t="s">
        <v>61</v>
      </c>
      <c r="G956" s="4" t="str">
        <f>IFERROR(VLOOKUP(C956,'Registre maintenance'!B:F,2,FALSE),"Non trouvé")</f>
        <v>Kongo-Central</v>
      </c>
      <c r="H956">
        <f>IFERROR(VLOOKUP(C956,'Registre maintenance'!B:F,3,FALSE),"Non trouvé")</f>
        <v>-2.8211520000000001</v>
      </c>
      <c r="I956">
        <f>IFERROR(VLOOKUP(C956,'Registre maintenance'!B:F,4,FALSE),"Non trouvé")</f>
        <v>20.651419000000001</v>
      </c>
      <c r="J956" t="str">
        <f>IFERROR(VLOOKUP(C956,'Registre maintenance'!B:F,5,FALSE),"Non trouvé")</f>
        <v>5G</v>
      </c>
      <c r="K956" t="str">
        <f t="shared" si="142"/>
        <v>OK</v>
      </c>
    </row>
    <row r="957" spans="1:11" x14ac:dyDescent="0.3">
      <c r="A957" t="s">
        <v>1407</v>
      </c>
      <c r="B957" s="1">
        <v>45202.054861111108</v>
      </c>
      <c r="C957" t="s">
        <v>1066</v>
      </c>
      <c r="D957">
        <v>11</v>
      </c>
      <c r="E957" t="s">
        <v>792</v>
      </c>
      <c r="F957" s="4" t="str">
        <f>F956</f>
        <v>Kongo-Central</v>
      </c>
      <c r="G957" s="4" t="str">
        <f>IFERROR(VLOOKUP(C957,'Registre maintenance'!B:F,2,FALSE),"Non trouvé")</f>
        <v>Non trouvé</v>
      </c>
      <c r="H957" t="str">
        <f>IFERROR(VLOOKUP(C957,'Registre maintenance'!B:F,3,FALSE),"Non trouvé")</f>
        <v>Non trouvé</v>
      </c>
      <c r="I957" t="str">
        <f>IFERROR(VLOOKUP(C957,'Registre maintenance'!B:F,4,FALSE),"Non trouvé")</f>
        <v>Non trouvé</v>
      </c>
      <c r="J957" t="str">
        <f>IFERROR(VLOOKUP(C957,'Registre maintenance'!B:F,5,FALSE),"Non trouvé")</f>
        <v>Non trouvé</v>
      </c>
      <c r="K957" t="str">
        <f t="shared" si="142"/>
        <v>Mismatch</v>
      </c>
    </row>
    <row r="958" spans="1:11" x14ac:dyDescent="0.3">
      <c r="A958" t="s">
        <v>1407</v>
      </c>
      <c r="B958" s="1">
        <v>45230.395138888889</v>
      </c>
      <c r="C958" t="s">
        <v>1423</v>
      </c>
      <c r="D958">
        <v>89</v>
      </c>
      <c r="E958" t="s">
        <v>797</v>
      </c>
      <c r="F958" s="4" t="s">
        <v>25</v>
      </c>
      <c r="G958" s="4" t="str">
        <f>IFERROR(VLOOKUP(C958,'Registre maintenance'!B:F,2,FALSE),"Non trouvé")</f>
        <v>Bas-Uele</v>
      </c>
      <c r="H958">
        <f>IFERROR(VLOOKUP(C958,'Registre maintenance'!B:F,3,FALSE),"Non trouvé")</f>
        <v>-7.3952039999999997</v>
      </c>
      <c r="I958">
        <f>IFERROR(VLOOKUP(C958,'Registre maintenance'!B:F,4,FALSE),"Non trouvé")</f>
        <v>21.651043999999999</v>
      </c>
      <c r="J958" t="str">
        <f>IFERROR(VLOOKUP(C958,'Registre maintenance'!B:F,5,FALSE),"Non trouvé")</f>
        <v>4G</v>
      </c>
      <c r="K958" t="str">
        <f t="shared" si="142"/>
        <v>OK</v>
      </c>
    </row>
    <row r="959" spans="1:11" x14ac:dyDescent="0.3">
      <c r="A959" t="s">
        <v>1407</v>
      </c>
      <c r="B959" s="1">
        <v>45223.693055555559</v>
      </c>
      <c r="C959" t="s">
        <v>1400</v>
      </c>
      <c r="D959">
        <v>18</v>
      </c>
      <c r="E959" t="s">
        <v>795</v>
      </c>
      <c r="F959" s="4" t="str">
        <f>F958</f>
        <v>Bas-Uele</v>
      </c>
      <c r="G959" s="4" t="str">
        <f>IFERROR(VLOOKUP(C959,'Registre maintenance'!B:F,2,FALSE),"Non trouvé")</f>
        <v>Non trouvé</v>
      </c>
      <c r="H959" t="str">
        <f>IFERROR(VLOOKUP(C959,'Registre maintenance'!B:F,3,FALSE),"Non trouvé")</f>
        <v>Non trouvé</v>
      </c>
      <c r="I959" t="str">
        <f>IFERROR(VLOOKUP(C959,'Registre maintenance'!B:F,4,FALSE),"Non trouvé")</f>
        <v>Non trouvé</v>
      </c>
      <c r="J959" t="str">
        <f>IFERROR(VLOOKUP(C959,'Registre maintenance'!B:F,5,FALSE),"Non trouvé")</f>
        <v>Non trouvé</v>
      </c>
      <c r="K959" t="str">
        <f t="shared" si="142"/>
        <v>Mismatch</v>
      </c>
    </row>
    <row r="960" spans="1:11" x14ac:dyDescent="0.3">
      <c r="A960" t="s">
        <v>1407</v>
      </c>
      <c r="B960" s="1">
        <v>45216.435416666667</v>
      </c>
      <c r="C960" t="s">
        <v>1260</v>
      </c>
      <c r="D960">
        <v>88</v>
      </c>
      <c r="E960" t="s">
        <v>792</v>
      </c>
      <c r="F960" s="4" t="s">
        <v>77</v>
      </c>
      <c r="G960" s="4" t="str">
        <f>IFERROR(VLOOKUP(C960,'Registre maintenance'!B:F,2,FALSE),"Non trouvé")</f>
        <v>Maniema</v>
      </c>
      <c r="H960">
        <f>IFERROR(VLOOKUP(C960,'Registre maintenance'!B:F,3,FALSE),"Non trouvé")</f>
        <v>1.938083</v>
      </c>
      <c r="I960">
        <f>IFERROR(VLOOKUP(C960,'Registre maintenance'!B:F,4,FALSE),"Non trouvé")</f>
        <v>28.25281</v>
      </c>
      <c r="J960" t="str">
        <f>IFERROR(VLOOKUP(C960,'Registre maintenance'!B:F,5,FALSE),"Non trouvé")</f>
        <v>4G</v>
      </c>
      <c r="K960" t="str">
        <f t="shared" si="142"/>
        <v>OK</v>
      </c>
    </row>
    <row r="961" spans="1:11" x14ac:dyDescent="0.3">
      <c r="A961" t="s">
        <v>1407</v>
      </c>
      <c r="B961" s="1">
        <v>45228.880555555559</v>
      </c>
      <c r="C961" t="s">
        <v>1087</v>
      </c>
      <c r="D961">
        <v>112</v>
      </c>
      <c r="E961" t="s">
        <v>797</v>
      </c>
      <c r="F961" s="4" t="str">
        <f>F960</f>
        <v>Maniema</v>
      </c>
      <c r="G961" s="4" t="str">
        <f>IFERROR(VLOOKUP(C961,'Registre maintenance'!B:F,2,FALSE),"Non trouvé")</f>
        <v>Non trouvé</v>
      </c>
      <c r="H961" t="str">
        <f>IFERROR(VLOOKUP(C961,'Registre maintenance'!B:F,3,FALSE),"Non trouvé")</f>
        <v>Non trouvé</v>
      </c>
      <c r="I961" t="str">
        <f>IFERROR(VLOOKUP(C961,'Registre maintenance'!B:F,4,FALSE),"Non trouvé")</f>
        <v>Non trouvé</v>
      </c>
      <c r="J961" t="str">
        <f>IFERROR(VLOOKUP(C961,'Registre maintenance'!B:F,5,FALSE),"Non trouvé")</f>
        <v>Non trouvé</v>
      </c>
      <c r="K961" t="str">
        <f t="shared" si="142"/>
        <v>Mismatch</v>
      </c>
    </row>
    <row r="962" spans="1:11" x14ac:dyDescent="0.3">
      <c r="A962" t="s">
        <v>1424</v>
      </c>
      <c r="B962" s="1">
        <v>45211.888888888891</v>
      </c>
      <c r="C962" t="s">
        <v>1201</v>
      </c>
      <c r="D962">
        <v>87</v>
      </c>
      <c r="E962" t="s">
        <v>795</v>
      </c>
      <c r="F962" s="4" t="s">
        <v>125</v>
      </c>
      <c r="G962" s="4" t="str">
        <f>IFERROR(VLOOKUP(C962,'Registre maintenance'!B:F,2,FALSE),"Non trouvé")</f>
        <v>Haut-Uele</v>
      </c>
      <c r="H962">
        <f>IFERROR(VLOOKUP(C962,'Registre maintenance'!B:F,3,FALSE),"Non trouvé")</f>
        <v>-7.1483749999999997</v>
      </c>
      <c r="I962">
        <f>IFERROR(VLOOKUP(C962,'Registre maintenance'!B:F,4,FALSE),"Non trouvé")</f>
        <v>26.014271000000001</v>
      </c>
      <c r="J962" t="str">
        <f>IFERROR(VLOOKUP(C962,'Registre maintenance'!B:F,5,FALSE),"Non trouvé")</f>
        <v>5G</v>
      </c>
      <c r="K962" t="str">
        <f t="shared" ref="K962:K1025" si="151">IF(F962=G962,"OK","Mismatch")</f>
        <v>OK</v>
      </c>
    </row>
    <row r="963" spans="1:11" x14ac:dyDescent="0.3">
      <c r="A963" t="s">
        <v>1424</v>
      </c>
      <c r="B963" s="1">
        <v>45213.963194444441</v>
      </c>
      <c r="C963" t="s">
        <v>1425</v>
      </c>
      <c r="D963">
        <v>25</v>
      </c>
      <c r="E963" t="s">
        <v>795</v>
      </c>
      <c r="F963" s="4" t="str">
        <f>F962</f>
        <v>Haut-Uele</v>
      </c>
      <c r="G963" s="4" t="str">
        <f>IFERROR(VLOOKUP(C963,'Registre maintenance'!B:F,2,FALSE),"Non trouvé")</f>
        <v>Non trouvé</v>
      </c>
      <c r="H963" t="str">
        <f>IFERROR(VLOOKUP(C963,'Registre maintenance'!B:F,3,FALSE),"Non trouvé")</f>
        <v>Non trouvé</v>
      </c>
      <c r="I963" t="str">
        <f>IFERROR(VLOOKUP(C963,'Registre maintenance'!B:F,4,FALSE),"Non trouvé")</f>
        <v>Non trouvé</v>
      </c>
      <c r="J963" t="str">
        <f>IFERROR(VLOOKUP(C963,'Registre maintenance'!B:F,5,FALSE),"Non trouvé")</f>
        <v>Non trouvé</v>
      </c>
      <c r="K963" t="str">
        <f t="shared" si="151"/>
        <v>Mismatch</v>
      </c>
    </row>
    <row r="964" spans="1:11" x14ac:dyDescent="0.3">
      <c r="A964" t="s">
        <v>1424</v>
      </c>
      <c r="B964" s="1">
        <v>45203.041666666657</v>
      </c>
      <c r="C964" t="s">
        <v>1113</v>
      </c>
      <c r="D964">
        <v>69</v>
      </c>
      <c r="E964" t="s">
        <v>797</v>
      </c>
      <c r="F964" s="4" t="s">
        <v>25</v>
      </c>
      <c r="G964" s="4" t="str">
        <f>IFERROR(VLOOKUP(C964,'Registre maintenance'!B:F,2,FALSE),"Non trouvé")</f>
        <v>Bas-Uele</v>
      </c>
      <c r="H964">
        <f>IFERROR(VLOOKUP(C964,'Registre maintenance'!B:F,3,FALSE),"Non trouvé")</f>
        <v>-2.2876210000000001</v>
      </c>
      <c r="I964">
        <f>IFERROR(VLOOKUP(C964,'Registre maintenance'!B:F,4,FALSE),"Non trouvé")</f>
        <v>27.582545</v>
      </c>
      <c r="J964" t="str">
        <f>IFERROR(VLOOKUP(C964,'Registre maintenance'!B:F,5,FALSE),"Non trouvé")</f>
        <v>4G</v>
      </c>
      <c r="K964" t="str">
        <f t="shared" si="151"/>
        <v>OK</v>
      </c>
    </row>
    <row r="965" spans="1:11" x14ac:dyDescent="0.3">
      <c r="A965" t="s">
        <v>1424</v>
      </c>
      <c r="B965" s="1">
        <v>45227.195833333331</v>
      </c>
      <c r="C965" t="s">
        <v>967</v>
      </c>
      <c r="D965">
        <v>113</v>
      </c>
      <c r="E965" t="s">
        <v>795</v>
      </c>
      <c r="F965" s="4" t="str">
        <f t="shared" ref="F965:F966" si="152">F964</f>
        <v>Bas-Uele</v>
      </c>
      <c r="G965" s="4" t="str">
        <f>IFERROR(VLOOKUP(C965,'Registre maintenance'!B:F,2,FALSE),"Non trouvé")</f>
        <v>Non trouvé</v>
      </c>
      <c r="H965" t="str">
        <f>IFERROR(VLOOKUP(C965,'Registre maintenance'!B:F,3,FALSE),"Non trouvé")</f>
        <v>Non trouvé</v>
      </c>
      <c r="I965" t="str">
        <f>IFERROR(VLOOKUP(C965,'Registre maintenance'!B:F,4,FALSE),"Non trouvé")</f>
        <v>Non trouvé</v>
      </c>
      <c r="J965" t="str">
        <f>IFERROR(VLOOKUP(C965,'Registre maintenance'!B:F,5,FALSE),"Non trouvé")</f>
        <v>Non trouvé</v>
      </c>
      <c r="K965" t="str">
        <f t="shared" si="151"/>
        <v>Mismatch</v>
      </c>
    </row>
    <row r="966" spans="1:11" x14ac:dyDescent="0.3">
      <c r="A966" t="s">
        <v>1424</v>
      </c>
      <c r="B966" s="1">
        <v>45220.222916666673</v>
      </c>
      <c r="C966" t="s">
        <v>1333</v>
      </c>
      <c r="D966">
        <v>65</v>
      </c>
      <c r="E966" t="s">
        <v>797</v>
      </c>
      <c r="F966" s="4" t="str">
        <f t="shared" si="152"/>
        <v>Bas-Uele</v>
      </c>
      <c r="G966" s="4" t="str">
        <f>IFERROR(VLOOKUP(C966,'Registre maintenance'!B:F,2,FALSE),"Non trouvé")</f>
        <v>Non trouvé</v>
      </c>
      <c r="H966" t="str">
        <f>IFERROR(VLOOKUP(C966,'Registre maintenance'!B:F,3,FALSE),"Non trouvé")</f>
        <v>Non trouvé</v>
      </c>
      <c r="I966" t="str">
        <f>IFERROR(VLOOKUP(C966,'Registre maintenance'!B:F,4,FALSE),"Non trouvé")</f>
        <v>Non trouvé</v>
      </c>
      <c r="J966" t="str">
        <f>IFERROR(VLOOKUP(C966,'Registre maintenance'!B:F,5,FALSE),"Non trouvé")</f>
        <v>Non trouvé</v>
      </c>
      <c r="K966" t="str">
        <f t="shared" si="151"/>
        <v>Mismatch</v>
      </c>
    </row>
    <row r="967" spans="1:11" x14ac:dyDescent="0.3">
      <c r="A967" t="s">
        <v>1424</v>
      </c>
      <c r="B967" s="1">
        <v>45211.61041666667</v>
      </c>
      <c r="C967" t="s">
        <v>873</v>
      </c>
      <c r="D967">
        <v>114</v>
      </c>
      <c r="E967" t="s">
        <v>792</v>
      </c>
      <c r="F967" s="4" t="s">
        <v>9</v>
      </c>
      <c r="G967" s="4" t="str">
        <f>IFERROR(VLOOKUP(C967,'Registre maintenance'!B:F,2,FALSE),"Non trouvé")</f>
        <v>Ituri</v>
      </c>
      <c r="H967">
        <f>IFERROR(VLOOKUP(C967,'Registre maintenance'!B:F,3,FALSE),"Non trouvé")</f>
        <v>-7.0076900000000002</v>
      </c>
      <c r="I967">
        <f>IFERROR(VLOOKUP(C967,'Registre maintenance'!B:F,4,FALSE),"Non trouvé")</f>
        <v>27.367121999999998</v>
      </c>
      <c r="J967" t="str">
        <f>IFERROR(VLOOKUP(C967,'Registre maintenance'!B:F,5,FALSE),"Non trouvé")</f>
        <v>3G</v>
      </c>
      <c r="K967" t="str">
        <f t="shared" si="151"/>
        <v>OK</v>
      </c>
    </row>
    <row r="968" spans="1:11" x14ac:dyDescent="0.3">
      <c r="A968" t="s">
        <v>1424</v>
      </c>
      <c r="B968" s="1">
        <v>45208.961805555547</v>
      </c>
      <c r="C968" t="s">
        <v>1426</v>
      </c>
      <c r="D968">
        <v>68</v>
      </c>
      <c r="E968" t="s">
        <v>792</v>
      </c>
      <c r="F968" s="4" t="s">
        <v>25</v>
      </c>
      <c r="G968" s="4" t="str">
        <f>IFERROR(VLOOKUP(C968,'Registre maintenance'!B:F,2,FALSE),"Non trouvé")</f>
        <v>Bas-Uele</v>
      </c>
      <c r="H968">
        <f>IFERROR(VLOOKUP(C968,'Registre maintenance'!B:F,3,FALSE),"Non trouvé")</f>
        <v>-2.3269820000000001</v>
      </c>
      <c r="I968">
        <f>IFERROR(VLOOKUP(C968,'Registre maintenance'!B:F,4,FALSE),"Non trouvé")</f>
        <v>14.609259</v>
      </c>
      <c r="J968" t="str">
        <f>IFERROR(VLOOKUP(C968,'Registre maintenance'!B:F,5,FALSE),"Non trouvé")</f>
        <v>3G</v>
      </c>
      <c r="K968" t="str">
        <f t="shared" si="151"/>
        <v>OK</v>
      </c>
    </row>
    <row r="969" spans="1:11" x14ac:dyDescent="0.3">
      <c r="A969" t="s">
        <v>1424</v>
      </c>
      <c r="B969" s="1">
        <v>45211.424305555563</v>
      </c>
      <c r="C969" t="s">
        <v>987</v>
      </c>
      <c r="D969">
        <v>116</v>
      </c>
      <c r="E969" t="s">
        <v>795</v>
      </c>
      <c r="F969" s="4" t="s">
        <v>129</v>
      </c>
      <c r="G969" s="4" t="str">
        <f>IFERROR(VLOOKUP(C969,'Registre maintenance'!B:F,2,FALSE),"Non trouvé")</f>
        <v>Nord-Kivu</v>
      </c>
      <c r="H969">
        <f>IFERROR(VLOOKUP(C969,'Registre maintenance'!B:F,3,FALSE),"Non trouvé")</f>
        <v>-1.8555980000000001</v>
      </c>
      <c r="I969">
        <f>IFERROR(VLOOKUP(C969,'Registre maintenance'!B:F,4,FALSE),"Non trouvé")</f>
        <v>30.421918000000002</v>
      </c>
      <c r="J969" t="str">
        <f>IFERROR(VLOOKUP(C969,'Registre maintenance'!B:F,5,FALSE),"Non trouvé")</f>
        <v>3G</v>
      </c>
      <c r="K969" t="str">
        <f t="shared" si="151"/>
        <v>OK</v>
      </c>
    </row>
    <row r="970" spans="1:11" x14ac:dyDescent="0.3">
      <c r="A970" t="s">
        <v>1424</v>
      </c>
      <c r="B970" s="1">
        <v>45203.517361111109</v>
      </c>
      <c r="C970" t="s">
        <v>823</v>
      </c>
      <c r="D970">
        <v>26</v>
      </c>
      <c r="E970" t="s">
        <v>792</v>
      </c>
      <c r="F970" s="4" t="s">
        <v>87</v>
      </c>
      <c r="G970" s="4" t="str">
        <f>IFERROR(VLOOKUP(C970,'Registre maintenance'!B:F,2,FALSE),"Non trouvé")</f>
        <v>Nord-Ubangi</v>
      </c>
      <c r="H970">
        <f>IFERROR(VLOOKUP(C970,'Registre maintenance'!B:F,3,FALSE),"Non trouvé")</f>
        <v>-8.1437910000000002</v>
      </c>
      <c r="I970">
        <f>IFERROR(VLOOKUP(C970,'Registre maintenance'!B:F,4,FALSE),"Non trouvé")</f>
        <v>28.946161</v>
      </c>
      <c r="J970" t="str">
        <f>IFERROR(VLOOKUP(C970,'Registre maintenance'!B:F,5,FALSE),"Non trouvé")</f>
        <v>4G</v>
      </c>
      <c r="K970" t="str">
        <f t="shared" si="151"/>
        <v>OK</v>
      </c>
    </row>
    <row r="971" spans="1:11" x14ac:dyDescent="0.3">
      <c r="A971" t="s">
        <v>1424</v>
      </c>
      <c r="B971" s="1">
        <v>45230.595138888893</v>
      </c>
      <c r="C971" t="s">
        <v>1427</v>
      </c>
      <c r="D971">
        <v>14</v>
      </c>
      <c r="E971" t="s">
        <v>792</v>
      </c>
      <c r="F971" s="4" t="s">
        <v>63</v>
      </c>
      <c r="G971" s="4" t="str">
        <f>IFERROR(VLOOKUP(C971,'Registre maintenance'!B:F,2,FALSE),"Non trouvé")</f>
        <v>Kinshasa</v>
      </c>
      <c r="H971">
        <f>IFERROR(VLOOKUP(C971,'Registre maintenance'!B:F,3,FALSE),"Non trouvé")</f>
        <v>-7.1079169999999996</v>
      </c>
      <c r="I971">
        <f>IFERROR(VLOOKUP(C971,'Registre maintenance'!B:F,4,FALSE),"Non trouvé")</f>
        <v>13.636272</v>
      </c>
      <c r="J971" t="str">
        <f>IFERROR(VLOOKUP(C971,'Registre maintenance'!B:F,5,FALSE),"Non trouvé")</f>
        <v>5G</v>
      </c>
      <c r="K971" t="str">
        <f t="shared" si="151"/>
        <v>OK</v>
      </c>
    </row>
    <row r="972" spans="1:11" x14ac:dyDescent="0.3">
      <c r="A972" t="s">
        <v>1424</v>
      </c>
      <c r="B972" s="1">
        <v>45226.530555555553</v>
      </c>
      <c r="C972" t="s">
        <v>1428</v>
      </c>
      <c r="D972">
        <v>101</v>
      </c>
      <c r="E972" t="s">
        <v>797</v>
      </c>
      <c r="F972" s="4" t="s">
        <v>77</v>
      </c>
      <c r="G972" s="4" t="str">
        <f>IFERROR(VLOOKUP(C972,'Registre maintenance'!B:F,2,FALSE),"Non trouvé")</f>
        <v>Maniema</v>
      </c>
      <c r="H972">
        <f>IFERROR(VLOOKUP(C972,'Registre maintenance'!B:F,3,FALSE),"Non trouvé")</f>
        <v>-10.650321</v>
      </c>
      <c r="I972">
        <f>IFERROR(VLOOKUP(C972,'Registre maintenance'!B:F,4,FALSE),"Non trouvé")</f>
        <v>15.917044000000001</v>
      </c>
      <c r="J972" t="str">
        <f>IFERROR(VLOOKUP(C972,'Registre maintenance'!B:F,5,FALSE),"Non trouvé")</f>
        <v>4G</v>
      </c>
      <c r="K972" t="str">
        <f t="shared" si="151"/>
        <v>OK</v>
      </c>
    </row>
    <row r="973" spans="1:11" x14ac:dyDescent="0.3">
      <c r="A973" t="s">
        <v>1424</v>
      </c>
      <c r="B973" s="1">
        <v>45227.660416666673</v>
      </c>
      <c r="C973" t="s">
        <v>1128</v>
      </c>
      <c r="D973">
        <v>67</v>
      </c>
      <c r="E973" t="s">
        <v>797</v>
      </c>
      <c r="F973" s="4" t="s">
        <v>28</v>
      </c>
      <c r="G973" s="4" t="str">
        <f>IFERROR(VLOOKUP(C973,'Registre maintenance'!B:F,2,FALSE),"Non trouvé")</f>
        <v>Kasai</v>
      </c>
      <c r="H973">
        <f>IFERROR(VLOOKUP(C973,'Registre maintenance'!B:F,3,FALSE),"Non trouvé")</f>
        <v>-5.125</v>
      </c>
      <c r="I973">
        <f>IFERROR(VLOOKUP(C973,'Registre maintenance'!B:F,4,FALSE),"Non trouvé")</f>
        <v>23.513119</v>
      </c>
      <c r="J973" t="str">
        <f>IFERROR(VLOOKUP(C973,'Registre maintenance'!B:F,5,FALSE),"Non trouvé")</f>
        <v>5G</v>
      </c>
      <c r="K973" t="str">
        <f t="shared" si="151"/>
        <v>OK</v>
      </c>
    </row>
    <row r="974" spans="1:11" x14ac:dyDescent="0.3">
      <c r="A974" t="s">
        <v>1424</v>
      </c>
      <c r="B974" s="1">
        <v>45213.87222222222</v>
      </c>
      <c r="C974" t="s">
        <v>1429</v>
      </c>
      <c r="D974">
        <v>46</v>
      </c>
      <c r="E974" t="s">
        <v>795</v>
      </c>
      <c r="F974" s="4" t="s">
        <v>34</v>
      </c>
      <c r="G974" s="4" t="str">
        <f>IFERROR(VLOOKUP(C974,'Registre maintenance'!B:F,2,FALSE),"Non trouvé")</f>
        <v>Sankuru</v>
      </c>
      <c r="H974">
        <f>IFERROR(VLOOKUP(C974,'Registre maintenance'!B:F,3,FALSE),"Non trouvé")</f>
        <v>-7.513261</v>
      </c>
      <c r="I974">
        <f>IFERROR(VLOOKUP(C974,'Registre maintenance'!B:F,4,FALSE),"Non trouvé")</f>
        <v>24.338812000000001</v>
      </c>
      <c r="J974" t="str">
        <f>IFERROR(VLOOKUP(C974,'Registre maintenance'!B:F,5,FALSE),"Non trouvé")</f>
        <v>5G</v>
      </c>
      <c r="K974" t="str">
        <f t="shared" si="151"/>
        <v>OK</v>
      </c>
    </row>
    <row r="975" spans="1:11" x14ac:dyDescent="0.3">
      <c r="A975" t="s">
        <v>1424</v>
      </c>
      <c r="B975" s="1">
        <v>45225.213194444441</v>
      </c>
      <c r="C975" t="s">
        <v>1430</v>
      </c>
      <c r="D975">
        <v>35</v>
      </c>
      <c r="E975" t="s">
        <v>797</v>
      </c>
      <c r="F975" s="4" t="str">
        <f t="shared" ref="F975:F976" si="153">F974</f>
        <v>Sankuru</v>
      </c>
      <c r="G975" s="4" t="str">
        <f>IFERROR(VLOOKUP(C975,'Registre maintenance'!B:F,2,FALSE),"Non trouvé")</f>
        <v>Non trouvé</v>
      </c>
      <c r="H975" t="str">
        <f>IFERROR(VLOOKUP(C975,'Registre maintenance'!B:F,3,FALSE),"Non trouvé")</f>
        <v>Non trouvé</v>
      </c>
      <c r="I975" t="str">
        <f>IFERROR(VLOOKUP(C975,'Registre maintenance'!B:F,4,FALSE),"Non trouvé")</f>
        <v>Non trouvé</v>
      </c>
      <c r="J975" t="str">
        <f>IFERROR(VLOOKUP(C975,'Registre maintenance'!B:F,5,FALSE),"Non trouvé")</f>
        <v>Non trouvé</v>
      </c>
      <c r="K975" t="str">
        <f t="shared" si="151"/>
        <v>Mismatch</v>
      </c>
    </row>
    <row r="976" spans="1:11" x14ac:dyDescent="0.3">
      <c r="A976" t="s">
        <v>1424</v>
      </c>
      <c r="B976" s="1">
        <v>45204.948611111111</v>
      </c>
      <c r="C976" t="s">
        <v>1431</v>
      </c>
      <c r="D976">
        <v>47</v>
      </c>
      <c r="E976" t="s">
        <v>795</v>
      </c>
      <c r="F976" s="4" t="str">
        <f t="shared" si="153"/>
        <v>Sankuru</v>
      </c>
      <c r="G976" s="4" t="str">
        <f>IFERROR(VLOOKUP(C976,'Registre maintenance'!B:F,2,FALSE),"Non trouvé")</f>
        <v>Non trouvé</v>
      </c>
      <c r="H976" t="str">
        <f>IFERROR(VLOOKUP(C976,'Registre maintenance'!B:F,3,FALSE),"Non trouvé")</f>
        <v>Non trouvé</v>
      </c>
      <c r="I976" t="str">
        <f>IFERROR(VLOOKUP(C976,'Registre maintenance'!B:F,4,FALSE),"Non trouvé")</f>
        <v>Non trouvé</v>
      </c>
      <c r="J976" t="str">
        <f>IFERROR(VLOOKUP(C976,'Registre maintenance'!B:F,5,FALSE),"Non trouvé")</f>
        <v>Non trouvé</v>
      </c>
      <c r="K976" t="str">
        <f t="shared" si="151"/>
        <v>Mismatch</v>
      </c>
    </row>
    <row r="977" spans="1:11" x14ac:dyDescent="0.3">
      <c r="A977" t="s">
        <v>1424</v>
      </c>
      <c r="B977" s="1">
        <v>45201.212500000001</v>
      </c>
      <c r="C977" t="s">
        <v>857</v>
      </c>
      <c r="D977">
        <v>40</v>
      </c>
      <c r="E977" t="s">
        <v>795</v>
      </c>
      <c r="F977" s="4" t="s">
        <v>129</v>
      </c>
      <c r="G977" s="4" t="str">
        <f>IFERROR(VLOOKUP(C977,'Registre maintenance'!B:F,2,FALSE),"Non trouvé")</f>
        <v>Nord-Kivu</v>
      </c>
      <c r="H977">
        <f>IFERROR(VLOOKUP(C977,'Registre maintenance'!B:F,3,FALSE),"Non trouvé")</f>
        <v>0.82868600000000003</v>
      </c>
      <c r="I977">
        <f>IFERROR(VLOOKUP(C977,'Registre maintenance'!B:F,4,FALSE),"Non trouvé")</f>
        <v>26.958843999999999</v>
      </c>
      <c r="J977" t="str">
        <f>IFERROR(VLOOKUP(C977,'Registre maintenance'!B:F,5,FALSE),"Non trouvé")</f>
        <v>5G</v>
      </c>
      <c r="K977" t="str">
        <f t="shared" si="151"/>
        <v>OK</v>
      </c>
    </row>
    <row r="978" spans="1:11" x14ac:dyDescent="0.3">
      <c r="A978" t="s">
        <v>1424</v>
      </c>
      <c r="B978" s="1">
        <v>45213.770833333343</v>
      </c>
      <c r="C978" t="s">
        <v>1432</v>
      </c>
      <c r="D978">
        <v>11</v>
      </c>
      <c r="E978" t="s">
        <v>797</v>
      </c>
      <c r="F978" s="4" t="str">
        <f t="shared" ref="F978:F979" si="154">F977</f>
        <v>Nord-Kivu</v>
      </c>
      <c r="G978" s="4" t="str">
        <f>IFERROR(VLOOKUP(C978,'Registre maintenance'!B:F,2,FALSE),"Non trouvé")</f>
        <v>Non trouvé</v>
      </c>
      <c r="H978" t="str">
        <f>IFERROR(VLOOKUP(C978,'Registre maintenance'!B:F,3,FALSE),"Non trouvé")</f>
        <v>Non trouvé</v>
      </c>
      <c r="I978" t="str">
        <f>IFERROR(VLOOKUP(C978,'Registre maintenance'!B:F,4,FALSE),"Non trouvé")</f>
        <v>Non trouvé</v>
      </c>
      <c r="J978" t="str">
        <f>IFERROR(VLOOKUP(C978,'Registre maintenance'!B:F,5,FALSE),"Non trouvé")</f>
        <v>Non trouvé</v>
      </c>
      <c r="K978" t="str">
        <f t="shared" si="151"/>
        <v>Mismatch</v>
      </c>
    </row>
    <row r="979" spans="1:11" x14ac:dyDescent="0.3">
      <c r="A979" t="s">
        <v>1424</v>
      </c>
      <c r="B979" s="1">
        <v>45225.779861111107</v>
      </c>
      <c r="C979" t="s">
        <v>1433</v>
      </c>
      <c r="D979">
        <v>69</v>
      </c>
      <c r="E979" t="s">
        <v>795</v>
      </c>
      <c r="F979" s="4" t="str">
        <f t="shared" si="154"/>
        <v>Nord-Kivu</v>
      </c>
      <c r="G979" s="4" t="str">
        <f>IFERROR(VLOOKUP(C979,'Registre maintenance'!B:F,2,FALSE),"Non trouvé")</f>
        <v>Non trouvé</v>
      </c>
      <c r="H979" t="str">
        <f>IFERROR(VLOOKUP(C979,'Registre maintenance'!B:F,3,FALSE),"Non trouvé")</f>
        <v>Non trouvé</v>
      </c>
      <c r="I979" t="str">
        <f>IFERROR(VLOOKUP(C979,'Registre maintenance'!B:F,4,FALSE),"Non trouvé")</f>
        <v>Non trouvé</v>
      </c>
      <c r="J979" t="str">
        <f>IFERROR(VLOOKUP(C979,'Registre maintenance'!B:F,5,FALSE),"Non trouvé")</f>
        <v>Non trouvé</v>
      </c>
      <c r="K979" t="str">
        <f t="shared" si="151"/>
        <v>Mismatch</v>
      </c>
    </row>
    <row r="980" spans="1:11" x14ac:dyDescent="0.3">
      <c r="A980" t="s">
        <v>1424</v>
      </c>
      <c r="B980" s="1">
        <v>45214.23541666667</v>
      </c>
      <c r="C980" t="s">
        <v>1434</v>
      </c>
      <c r="D980">
        <v>33</v>
      </c>
      <c r="E980" t="s">
        <v>792</v>
      </c>
      <c r="F980" s="4" t="s">
        <v>77</v>
      </c>
      <c r="G980" s="4" t="str">
        <f>IFERROR(VLOOKUP(C980,'Registre maintenance'!B:F,2,FALSE),"Non trouvé")</f>
        <v>Maniema</v>
      </c>
      <c r="H980">
        <f>IFERROR(VLOOKUP(C980,'Registre maintenance'!B:F,3,FALSE),"Non trouvé")</f>
        <v>-10.318835</v>
      </c>
      <c r="I980">
        <f>IFERROR(VLOOKUP(C980,'Registre maintenance'!B:F,4,FALSE),"Non trouvé")</f>
        <v>21.252382000000001</v>
      </c>
      <c r="J980" t="str">
        <f>IFERROR(VLOOKUP(C980,'Registre maintenance'!B:F,5,FALSE),"Non trouvé")</f>
        <v>4G</v>
      </c>
      <c r="K980" t="str">
        <f t="shared" si="151"/>
        <v>OK</v>
      </c>
    </row>
    <row r="981" spans="1:11" x14ac:dyDescent="0.3">
      <c r="A981" t="s">
        <v>1424</v>
      </c>
      <c r="B981" s="1">
        <v>45212.48541666667</v>
      </c>
      <c r="C981" t="s">
        <v>1435</v>
      </c>
      <c r="D981">
        <v>75</v>
      </c>
      <c r="E981" t="s">
        <v>792</v>
      </c>
      <c r="F981" s="4" t="str">
        <f>F980</f>
        <v>Maniema</v>
      </c>
      <c r="G981" s="4" t="str">
        <f>IFERROR(VLOOKUP(C981,'Registre maintenance'!B:F,2,FALSE),"Non trouvé")</f>
        <v>Non trouvé</v>
      </c>
      <c r="H981" t="str">
        <f>IFERROR(VLOOKUP(C981,'Registre maintenance'!B:F,3,FALSE),"Non trouvé")</f>
        <v>Non trouvé</v>
      </c>
      <c r="I981" t="str">
        <f>IFERROR(VLOOKUP(C981,'Registre maintenance'!B:F,4,FALSE),"Non trouvé")</f>
        <v>Non trouvé</v>
      </c>
      <c r="J981" t="str">
        <f>IFERROR(VLOOKUP(C981,'Registre maintenance'!B:F,5,FALSE),"Non trouvé")</f>
        <v>Non trouvé</v>
      </c>
      <c r="K981" t="str">
        <f t="shared" si="151"/>
        <v>Mismatch</v>
      </c>
    </row>
    <row r="982" spans="1:11" x14ac:dyDescent="0.3">
      <c r="A982" t="s">
        <v>1424</v>
      </c>
      <c r="B982" s="1">
        <v>45200.913888888892</v>
      </c>
      <c r="C982" t="s">
        <v>1436</v>
      </c>
      <c r="D982">
        <v>87</v>
      </c>
      <c r="E982" t="s">
        <v>792</v>
      </c>
      <c r="F982" s="4" t="s">
        <v>34</v>
      </c>
      <c r="G982" s="4" t="str">
        <f>IFERROR(VLOOKUP(C982,'Registre maintenance'!B:F,2,FALSE),"Non trouvé")</f>
        <v>Sankuru</v>
      </c>
      <c r="H982">
        <f>IFERROR(VLOOKUP(C982,'Registre maintenance'!B:F,3,FALSE),"Non trouvé")</f>
        <v>3.175935</v>
      </c>
      <c r="I982">
        <f>IFERROR(VLOOKUP(C982,'Registre maintenance'!B:F,4,FALSE),"Non trouvé")</f>
        <v>16.862832000000001</v>
      </c>
      <c r="J982" t="str">
        <f>IFERROR(VLOOKUP(C982,'Registre maintenance'!B:F,5,FALSE),"Non trouvé")</f>
        <v>5G</v>
      </c>
      <c r="K982" t="str">
        <f t="shared" si="151"/>
        <v>OK</v>
      </c>
    </row>
    <row r="983" spans="1:11" x14ac:dyDescent="0.3">
      <c r="A983" t="s">
        <v>1424</v>
      </c>
      <c r="B983" s="1">
        <v>45226.997916666667</v>
      </c>
      <c r="C983" t="s">
        <v>1437</v>
      </c>
      <c r="D983">
        <v>53</v>
      </c>
      <c r="E983" t="s">
        <v>797</v>
      </c>
      <c r="F983" s="4" t="s">
        <v>87</v>
      </c>
      <c r="G983" s="4" t="str">
        <f>IFERROR(VLOOKUP(C983,'Registre maintenance'!B:F,2,FALSE),"Non trouvé")</f>
        <v>Nord-Ubangi</v>
      </c>
      <c r="H983">
        <f>IFERROR(VLOOKUP(C983,'Registre maintenance'!B:F,3,FALSE),"Non trouvé")</f>
        <v>-7.8373179999999998</v>
      </c>
      <c r="I983">
        <f>IFERROR(VLOOKUP(C983,'Registre maintenance'!B:F,4,FALSE),"Non trouvé")</f>
        <v>20.527591999999999</v>
      </c>
      <c r="J983" t="str">
        <f>IFERROR(VLOOKUP(C983,'Registre maintenance'!B:F,5,FALSE),"Non trouvé")</f>
        <v>4G</v>
      </c>
      <c r="K983" t="str">
        <f t="shared" si="151"/>
        <v>OK</v>
      </c>
    </row>
    <row r="984" spans="1:11" x14ac:dyDescent="0.3">
      <c r="A984" t="s">
        <v>1424</v>
      </c>
      <c r="B984" s="1">
        <v>45204.665277777778</v>
      </c>
      <c r="C984" t="s">
        <v>1131</v>
      </c>
      <c r="D984">
        <v>56</v>
      </c>
      <c r="E984" t="s">
        <v>792</v>
      </c>
      <c r="F984" s="4" t="str">
        <f t="shared" ref="F984:F987" si="155">F983</f>
        <v>Nord-Ubangi</v>
      </c>
      <c r="G984" s="4" t="str">
        <f>IFERROR(VLOOKUP(C984,'Registre maintenance'!B:F,2,FALSE),"Non trouvé")</f>
        <v>Non trouvé</v>
      </c>
      <c r="H984" t="str">
        <f>IFERROR(VLOOKUP(C984,'Registre maintenance'!B:F,3,FALSE),"Non trouvé")</f>
        <v>Non trouvé</v>
      </c>
      <c r="I984" t="str">
        <f>IFERROR(VLOOKUP(C984,'Registre maintenance'!B:F,4,FALSE),"Non trouvé")</f>
        <v>Non trouvé</v>
      </c>
      <c r="J984" t="str">
        <f>IFERROR(VLOOKUP(C984,'Registre maintenance'!B:F,5,FALSE),"Non trouvé")</f>
        <v>Non trouvé</v>
      </c>
      <c r="K984" t="str">
        <f t="shared" si="151"/>
        <v>Mismatch</v>
      </c>
    </row>
    <row r="985" spans="1:11" x14ac:dyDescent="0.3">
      <c r="A985" t="s">
        <v>1424</v>
      </c>
      <c r="B985" s="1">
        <v>45215.163888888892</v>
      </c>
      <c r="C985" t="s">
        <v>1438</v>
      </c>
      <c r="D985">
        <v>109</v>
      </c>
      <c r="E985" t="s">
        <v>795</v>
      </c>
      <c r="F985" s="4" t="str">
        <f t="shared" si="155"/>
        <v>Nord-Ubangi</v>
      </c>
      <c r="G985" s="4" t="str">
        <f>IFERROR(VLOOKUP(C985,'Registre maintenance'!B:F,2,FALSE),"Non trouvé")</f>
        <v>Non trouvé</v>
      </c>
      <c r="H985" t="str">
        <f>IFERROR(VLOOKUP(C985,'Registre maintenance'!B:F,3,FALSE),"Non trouvé")</f>
        <v>Non trouvé</v>
      </c>
      <c r="I985" t="str">
        <f>IFERROR(VLOOKUP(C985,'Registre maintenance'!B:F,4,FALSE),"Non trouvé")</f>
        <v>Non trouvé</v>
      </c>
      <c r="J985" t="str">
        <f>IFERROR(VLOOKUP(C985,'Registre maintenance'!B:F,5,FALSE),"Non trouvé")</f>
        <v>Non trouvé</v>
      </c>
      <c r="K985" t="str">
        <f t="shared" si="151"/>
        <v>Mismatch</v>
      </c>
    </row>
    <row r="986" spans="1:11" x14ac:dyDescent="0.3">
      <c r="A986" t="s">
        <v>1424</v>
      </c>
      <c r="B986" s="1">
        <v>45213.584722222222</v>
      </c>
      <c r="C986" t="s">
        <v>1439</v>
      </c>
      <c r="D986">
        <v>35</v>
      </c>
      <c r="E986" t="s">
        <v>795</v>
      </c>
      <c r="F986" s="4" t="str">
        <f t="shared" si="155"/>
        <v>Nord-Ubangi</v>
      </c>
      <c r="G986" s="4" t="str">
        <f>IFERROR(VLOOKUP(C986,'Registre maintenance'!B:F,2,FALSE),"Non trouvé")</f>
        <v>Non trouvé</v>
      </c>
      <c r="H986" t="str">
        <f>IFERROR(VLOOKUP(C986,'Registre maintenance'!B:F,3,FALSE),"Non trouvé")</f>
        <v>Non trouvé</v>
      </c>
      <c r="I986" t="str">
        <f>IFERROR(VLOOKUP(C986,'Registre maintenance'!B:F,4,FALSE),"Non trouvé")</f>
        <v>Non trouvé</v>
      </c>
      <c r="J986" t="str">
        <f>IFERROR(VLOOKUP(C986,'Registre maintenance'!B:F,5,FALSE),"Non trouvé")</f>
        <v>Non trouvé</v>
      </c>
      <c r="K986" t="str">
        <f t="shared" si="151"/>
        <v>Mismatch</v>
      </c>
    </row>
    <row r="987" spans="1:11" x14ac:dyDescent="0.3">
      <c r="A987" t="s">
        <v>1424</v>
      </c>
      <c r="B987" s="1">
        <v>45202.361805555563</v>
      </c>
      <c r="C987" t="s">
        <v>1440</v>
      </c>
      <c r="D987">
        <v>15</v>
      </c>
      <c r="E987" t="s">
        <v>795</v>
      </c>
      <c r="F987" s="4" t="str">
        <f t="shared" si="155"/>
        <v>Nord-Ubangi</v>
      </c>
      <c r="G987" s="4" t="str">
        <f>IFERROR(VLOOKUP(C987,'Registre maintenance'!B:F,2,FALSE),"Non trouvé")</f>
        <v>Non trouvé</v>
      </c>
      <c r="H987" t="str">
        <f>IFERROR(VLOOKUP(C987,'Registre maintenance'!B:F,3,FALSE),"Non trouvé")</f>
        <v>Non trouvé</v>
      </c>
      <c r="I987" t="str">
        <f>IFERROR(VLOOKUP(C987,'Registre maintenance'!B:F,4,FALSE),"Non trouvé")</f>
        <v>Non trouvé</v>
      </c>
      <c r="J987" t="str">
        <f>IFERROR(VLOOKUP(C987,'Registre maintenance'!B:F,5,FALSE),"Non trouvé")</f>
        <v>Non trouvé</v>
      </c>
      <c r="K987" t="str">
        <f t="shared" si="151"/>
        <v>Mismatch</v>
      </c>
    </row>
    <row r="988" spans="1:11" x14ac:dyDescent="0.3">
      <c r="A988" t="s">
        <v>1424</v>
      </c>
      <c r="B988" s="1">
        <v>45210.03125</v>
      </c>
      <c r="C988" t="s">
        <v>1133</v>
      </c>
      <c r="D988">
        <v>63</v>
      </c>
      <c r="E988" t="s">
        <v>797</v>
      </c>
      <c r="F988" s="4" t="s">
        <v>39</v>
      </c>
      <c r="G988" s="4" t="str">
        <f>IFERROR(VLOOKUP(C988,'Registre maintenance'!B:F,2,FALSE),"Non trouvé")</f>
        <v>Kwango</v>
      </c>
      <c r="H988">
        <f>IFERROR(VLOOKUP(C988,'Registre maintenance'!B:F,3,FALSE),"Non trouvé")</f>
        <v>-9.0798120000000004</v>
      </c>
      <c r="I988">
        <f>IFERROR(VLOOKUP(C988,'Registre maintenance'!B:F,4,FALSE),"Non trouvé")</f>
        <v>14.945484</v>
      </c>
      <c r="J988" t="str">
        <f>IFERROR(VLOOKUP(C988,'Registre maintenance'!B:F,5,FALSE),"Non trouvé")</f>
        <v>5G</v>
      </c>
      <c r="K988" t="str">
        <f t="shared" si="151"/>
        <v>OK</v>
      </c>
    </row>
    <row r="989" spans="1:11" x14ac:dyDescent="0.3">
      <c r="A989" t="s">
        <v>1424</v>
      </c>
      <c r="B989" s="1">
        <v>45227.897916666669</v>
      </c>
      <c r="C989" t="s">
        <v>1427</v>
      </c>
      <c r="D989">
        <v>61</v>
      </c>
      <c r="E989" t="s">
        <v>792</v>
      </c>
      <c r="F989" s="4" t="s">
        <v>63</v>
      </c>
      <c r="G989" s="4" t="str">
        <f>IFERROR(VLOOKUP(C989,'Registre maintenance'!B:F,2,FALSE),"Non trouvé")</f>
        <v>Kinshasa</v>
      </c>
      <c r="H989">
        <f>IFERROR(VLOOKUP(C989,'Registre maintenance'!B:F,3,FALSE),"Non trouvé")</f>
        <v>-7.1079169999999996</v>
      </c>
      <c r="I989">
        <f>IFERROR(VLOOKUP(C989,'Registre maintenance'!B:F,4,FALSE),"Non trouvé")</f>
        <v>13.636272</v>
      </c>
      <c r="J989" t="str">
        <f>IFERROR(VLOOKUP(C989,'Registre maintenance'!B:F,5,FALSE),"Non trouvé")</f>
        <v>5G</v>
      </c>
      <c r="K989" t="str">
        <f t="shared" si="151"/>
        <v>OK</v>
      </c>
    </row>
    <row r="990" spans="1:11" x14ac:dyDescent="0.3">
      <c r="A990" t="s">
        <v>1424</v>
      </c>
      <c r="B990" s="1">
        <v>45224.98333333333</v>
      </c>
      <c r="C990" t="s">
        <v>977</v>
      </c>
      <c r="D990">
        <v>107</v>
      </c>
      <c r="E990" t="s">
        <v>797</v>
      </c>
      <c r="F990" s="4" t="str">
        <f>F989</f>
        <v>Kinshasa</v>
      </c>
      <c r="G990" s="4" t="str">
        <f>IFERROR(VLOOKUP(C990,'Registre maintenance'!B:F,2,FALSE),"Non trouvé")</f>
        <v>Non trouvé</v>
      </c>
      <c r="H990" t="str">
        <f>IFERROR(VLOOKUP(C990,'Registre maintenance'!B:F,3,FALSE),"Non trouvé")</f>
        <v>Non trouvé</v>
      </c>
      <c r="I990" t="str">
        <f>IFERROR(VLOOKUP(C990,'Registre maintenance'!B:F,4,FALSE),"Non trouvé")</f>
        <v>Non trouvé</v>
      </c>
      <c r="J990" t="str">
        <f>IFERROR(VLOOKUP(C990,'Registre maintenance'!B:F,5,FALSE),"Non trouvé")</f>
        <v>Non trouvé</v>
      </c>
      <c r="K990" t="str">
        <f t="shared" si="151"/>
        <v>Mismatch</v>
      </c>
    </row>
    <row r="991" spans="1:11" x14ac:dyDescent="0.3">
      <c r="A991" t="s">
        <v>1424</v>
      </c>
      <c r="B991" s="1">
        <v>45223.759722222218</v>
      </c>
      <c r="C991" t="s">
        <v>1101</v>
      </c>
      <c r="D991">
        <v>78</v>
      </c>
      <c r="E991" t="s">
        <v>795</v>
      </c>
      <c r="F991" s="4" t="s">
        <v>15</v>
      </c>
      <c r="G991" s="4" t="str">
        <f>IFERROR(VLOOKUP(C991,'Registre maintenance'!B:F,2,FALSE),"Non trouvé")</f>
        <v>Mongala</v>
      </c>
      <c r="H991">
        <f>IFERROR(VLOOKUP(C991,'Registre maintenance'!B:F,3,FALSE),"Non trouvé")</f>
        <v>-5.3762689999999997</v>
      </c>
      <c r="I991">
        <f>IFERROR(VLOOKUP(C991,'Registre maintenance'!B:F,4,FALSE),"Non trouvé")</f>
        <v>28.189575999999999</v>
      </c>
      <c r="J991" t="str">
        <f>IFERROR(VLOOKUP(C991,'Registre maintenance'!B:F,5,FALSE),"Non trouvé")</f>
        <v>5G</v>
      </c>
      <c r="K991" t="str">
        <f t="shared" si="151"/>
        <v>OK</v>
      </c>
    </row>
    <row r="992" spans="1:11" x14ac:dyDescent="0.3">
      <c r="A992" t="s">
        <v>1424</v>
      </c>
      <c r="B992" s="1">
        <v>45230.913194444453</v>
      </c>
      <c r="C992" t="s">
        <v>1208</v>
      </c>
      <c r="D992">
        <v>62</v>
      </c>
      <c r="E992" t="s">
        <v>792</v>
      </c>
      <c r="F992" s="4" t="s">
        <v>12</v>
      </c>
      <c r="G992" s="4" t="str">
        <f>IFERROR(VLOOKUP(C992,'Registre maintenance'!B:F,2,FALSE),"Non trouvé")</f>
        <v>Tshuapa</v>
      </c>
      <c r="H992">
        <f>IFERROR(VLOOKUP(C992,'Registre maintenance'!B:F,3,FALSE),"Non trouvé")</f>
        <v>-1.9540519999999999</v>
      </c>
      <c r="I992">
        <f>IFERROR(VLOOKUP(C992,'Registre maintenance'!B:F,4,FALSE),"Non trouvé")</f>
        <v>12.667945</v>
      </c>
      <c r="J992" t="str">
        <f>IFERROR(VLOOKUP(C992,'Registre maintenance'!B:F,5,FALSE),"Non trouvé")</f>
        <v>4G</v>
      </c>
      <c r="K992" t="str">
        <f t="shared" si="151"/>
        <v>OK</v>
      </c>
    </row>
    <row r="993" spans="1:11" x14ac:dyDescent="0.3">
      <c r="A993" t="s">
        <v>1424</v>
      </c>
      <c r="B993" s="1">
        <v>45210.689583333333</v>
      </c>
      <c r="C993" t="s">
        <v>1072</v>
      </c>
      <c r="D993">
        <v>16</v>
      </c>
      <c r="E993" t="s">
        <v>792</v>
      </c>
      <c r="F993" s="4" t="s">
        <v>125</v>
      </c>
      <c r="G993" s="4" t="str">
        <f>IFERROR(VLOOKUP(C993,'Registre maintenance'!B:F,2,FALSE),"Non trouvé")</f>
        <v>Haut-Uele</v>
      </c>
      <c r="H993">
        <f>IFERROR(VLOOKUP(C993,'Registre maintenance'!B:F,3,FALSE),"Non trouvé")</f>
        <v>-4.869434</v>
      </c>
      <c r="I993">
        <f>IFERROR(VLOOKUP(C993,'Registre maintenance'!B:F,4,FALSE),"Non trouvé")</f>
        <v>22.326522000000001</v>
      </c>
      <c r="J993" t="str">
        <f>IFERROR(VLOOKUP(C993,'Registre maintenance'!B:F,5,FALSE),"Non trouvé")</f>
        <v>5G</v>
      </c>
      <c r="K993" t="str">
        <f t="shared" si="151"/>
        <v>OK</v>
      </c>
    </row>
    <row r="994" spans="1:11" x14ac:dyDescent="0.3">
      <c r="A994" t="s">
        <v>1424</v>
      </c>
      <c r="B994" s="1">
        <v>45222.943749999999</v>
      </c>
      <c r="C994" t="s">
        <v>1441</v>
      </c>
      <c r="D994">
        <v>114</v>
      </c>
      <c r="E994" t="s">
        <v>792</v>
      </c>
      <c r="F994" s="4" t="s">
        <v>17</v>
      </c>
      <c r="G994" s="4" t="str">
        <f>IFERROR(VLOOKUP(C994,'Registre maintenance'!B:F,2,FALSE),"Non trouvé")</f>
        <v>Haut-Lomami</v>
      </c>
      <c r="H994">
        <f>IFERROR(VLOOKUP(C994,'Registre maintenance'!B:F,3,FALSE),"Non trouvé")</f>
        <v>-9.6407190000000007</v>
      </c>
      <c r="I994">
        <f>IFERROR(VLOOKUP(C994,'Registre maintenance'!B:F,4,FALSE),"Non trouvé")</f>
        <v>21.336704999999998</v>
      </c>
      <c r="J994" t="str">
        <f>IFERROR(VLOOKUP(C994,'Registre maintenance'!B:F,5,FALSE),"Non trouvé")</f>
        <v>4G</v>
      </c>
      <c r="K994" t="str">
        <f t="shared" si="151"/>
        <v>OK</v>
      </c>
    </row>
    <row r="995" spans="1:11" x14ac:dyDescent="0.3">
      <c r="A995" t="s">
        <v>1424</v>
      </c>
      <c r="B995" s="1">
        <v>45203.570833333331</v>
      </c>
      <c r="C995" t="s">
        <v>1442</v>
      </c>
      <c r="D995">
        <v>68</v>
      </c>
      <c r="E995" t="s">
        <v>797</v>
      </c>
      <c r="F995" s="4" t="str">
        <f t="shared" ref="F995:F996" si="156">F994</f>
        <v>Haut-Lomami</v>
      </c>
      <c r="G995" s="4" t="str">
        <f>IFERROR(VLOOKUP(C995,'Registre maintenance'!B:F,2,FALSE),"Non trouvé")</f>
        <v>Non trouvé</v>
      </c>
      <c r="H995" t="str">
        <f>IFERROR(VLOOKUP(C995,'Registre maintenance'!B:F,3,FALSE),"Non trouvé")</f>
        <v>Non trouvé</v>
      </c>
      <c r="I995" t="str">
        <f>IFERROR(VLOOKUP(C995,'Registre maintenance'!B:F,4,FALSE),"Non trouvé")</f>
        <v>Non trouvé</v>
      </c>
      <c r="J995" t="str">
        <f>IFERROR(VLOOKUP(C995,'Registre maintenance'!B:F,5,FALSE),"Non trouvé")</f>
        <v>Non trouvé</v>
      </c>
      <c r="K995" t="str">
        <f t="shared" si="151"/>
        <v>Mismatch</v>
      </c>
    </row>
    <row r="996" spans="1:11" x14ac:dyDescent="0.3">
      <c r="A996" t="s">
        <v>1424</v>
      </c>
      <c r="B996" s="1">
        <v>45223.3125</v>
      </c>
      <c r="C996" t="s">
        <v>1443</v>
      </c>
      <c r="D996">
        <v>62</v>
      </c>
      <c r="E996" t="s">
        <v>792</v>
      </c>
      <c r="F996" s="4" t="str">
        <f t="shared" si="156"/>
        <v>Haut-Lomami</v>
      </c>
      <c r="G996" s="4" t="str">
        <f>IFERROR(VLOOKUP(C996,'Registre maintenance'!B:F,2,FALSE),"Non trouvé")</f>
        <v>Non trouvé</v>
      </c>
      <c r="H996" t="str">
        <f>IFERROR(VLOOKUP(C996,'Registre maintenance'!B:F,3,FALSE),"Non trouvé")</f>
        <v>Non trouvé</v>
      </c>
      <c r="I996" t="str">
        <f>IFERROR(VLOOKUP(C996,'Registre maintenance'!B:F,4,FALSE),"Non trouvé")</f>
        <v>Non trouvé</v>
      </c>
      <c r="J996" t="str">
        <f>IFERROR(VLOOKUP(C996,'Registre maintenance'!B:F,5,FALSE),"Non trouvé")</f>
        <v>Non trouvé</v>
      </c>
      <c r="K996" t="str">
        <f t="shared" si="151"/>
        <v>Mismatch</v>
      </c>
    </row>
    <row r="997" spans="1:11" x14ac:dyDescent="0.3">
      <c r="A997" t="s">
        <v>1424</v>
      </c>
      <c r="B997" s="1">
        <v>45211.904861111107</v>
      </c>
      <c r="C997" t="s">
        <v>1001</v>
      </c>
      <c r="D997">
        <v>45</v>
      </c>
      <c r="E997" t="s">
        <v>797</v>
      </c>
      <c r="F997" s="4" t="s">
        <v>30</v>
      </c>
      <c r="G997" s="4" t="str">
        <f>IFERROR(VLOOKUP(C997,'Registre maintenance'!B:F,2,FALSE),"Non trouvé")</f>
        <v>Sud-Ubangi</v>
      </c>
      <c r="H997">
        <f>IFERROR(VLOOKUP(C997,'Registre maintenance'!B:F,3,FALSE),"Non trouvé")</f>
        <v>-12.342053999999999</v>
      </c>
      <c r="I997">
        <f>IFERROR(VLOOKUP(C997,'Registre maintenance'!B:F,4,FALSE),"Non trouvé")</f>
        <v>18.756862000000002</v>
      </c>
      <c r="J997" t="str">
        <f>IFERROR(VLOOKUP(C997,'Registre maintenance'!B:F,5,FALSE),"Non trouvé")</f>
        <v>3G</v>
      </c>
      <c r="K997" t="str">
        <f t="shared" si="151"/>
        <v>OK</v>
      </c>
    </row>
    <row r="998" spans="1:11" x14ac:dyDescent="0.3">
      <c r="A998" t="s">
        <v>1424</v>
      </c>
      <c r="B998" s="1">
        <v>45220.506249999999</v>
      </c>
      <c r="C998" t="s">
        <v>1242</v>
      </c>
      <c r="D998">
        <v>20</v>
      </c>
      <c r="E998" t="s">
        <v>792</v>
      </c>
      <c r="F998" s="4" t="str">
        <f t="shared" ref="F998:F1002" si="157">F997</f>
        <v>Sud-Ubangi</v>
      </c>
      <c r="G998" s="4" t="str">
        <f>IFERROR(VLOOKUP(C998,'Registre maintenance'!B:F,2,FALSE),"Non trouvé")</f>
        <v>Non trouvé</v>
      </c>
      <c r="H998" t="str">
        <f>IFERROR(VLOOKUP(C998,'Registre maintenance'!B:F,3,FALSE),"Non trouvé")</f>
        <v>Non trouvé</v>
      </c>
      <c r="I998" t="str">
        <f>IFERROR(VLOOKUP(C998,'Registre maintenance'!B:F,4,FALSE),"Non trouvé")</f>
        <v>Non trouvé</v>
      </c>
      <c r="J998" t="str">
        <f>IFERROR(VLOOKUP(C998,'Registre maintenance'!B:F,5,FALSE),"Non trouvé")</f>
        <v>Non trouvé</v>
      </c>
      <c r="K998" t="str">
        <f t="shared" si="151"/>
        <v>Mismatch</v>
      </c>
    </row>
    <row r="999" spans="1:11" x14ac:dyDescent="0.3">
      <c r="A999" t="s">
        <v>1424</v>
      </c>
      <c r="B999" s="1">
        <v>45226.747916666667</v>
      </c>
      <c r="C999" t="s">
        <v>1444</v>
      </c>
      <c r="D999">
        <v>68</v>
      </c>
      <c r="E999" t="s">
        <v>795</v>
      </c>
      <c r="F999" s="4" t="str">
        <f t="shared" si="157"/>
        <v>Sud-Ubangi</v>
      </c>
      <c r="G999" s="4">
        <f>IFERROR(VLOOKUP(C999,'Registre maintenance'!B:F,2,FALSE),"Non trouvé")</f>
        <v>0</v>
      </c>
      <c r="H999">
        <f>IFERROR(VLOOKUP(C999,'Registre maintenance'!B:F,3,FALSE),"Non trouvé")</f>
        <v>3.9790009999999998</v>
      </c>
      <c r="I999">
        <f>IFERROR(VLOOKUP(C999,'Registre maintenance'!B:F,4,FALSE),"Non trouvé")</f>
        <v>28.069559000000002</v>
      </c>
      <c r="J999" t="str">
        <f>IFERROR(VLOOKUP(C999,'Registre maintenance'!B:F,5,FALSE),"Non trouvé")</f>
        <v>3G</v>
      </c>
      <c r="K999" t="str">
        <f t="shared" si="151"/>
        <v>Mismatch</v>
      </c>
    </row>
    <row r="1000" spans="1:11" x14ac:dyDescent="0.3">
      <c r="A1000" t="s">
        <v>1424</v>
      </c>
      <c r="B1000" s="1">
        <v>45219.041666666657</v>
      </c>
      <c r="C1000" t="s">
        <v>955</v>
      </c>
      <c r="D1000">
        <v>100</v>
      </c>
      <c r="E1000" t="s">
        <v>797</v>
      </c>
      <c r="F1000" s="4" t="str">
        <f t="shared" si="157"/>
        <v>Sud-Ubangi</v>
      </c>
      <c r="G1000" s="4" t="str">
        <f>IFERROR(VLOOKUP(C1000,'Registre maintenance'!B:F,2,FALSE),"Non trouvé")</f>
        <v>Non trouvé</v>
      </c>
      <c r="H1000" t="str">
        <f>IFERROR(VLOOKUP(C1000,'Registre maintenance'!B:F,3,FALSE),"Non trouvé")</f>
        <v>Non trouvé</v>
      </c>
      <c r="I1000" t="str">
        <f>IFERROR(VLOOKUP(C1000,'Registre maintenance'!B:F,4,FALSE),"Non trouvé")</f>
        <v>Non trouvé</v>
      </c>
      <c r="J1000" t="str">
        <f>IFERROR(VLOOKUP(C1000,'Registre maintenance'!B:F,5,FALSE),"Non trouvé")</f>
        <v>Non trouvé</v>
      </c>
      <c r="K1000" t="str">
        <f t="shared" si="151"/>
        <v>Mismatch</v>
      </c>
    </row>
    <row r="1001" spans="1:11" x14ac:dyDescent="0.3">
      <c r="A1001" t="s">
        <v>1424</v>
      </c>
      <c r="B1001" s="1">
        <v>45225.779861111107</v>
      </c>
      <c r="C1001" t="s">
        <v>1433</v>
      </c>
      <c r="D1001">
        <v>69</v>
      </c>
      <c r="E1001" t="s">
        <v>795</v>
      </c>
      <c r="F1001" s="4" t="str">
        <f t="shared" si="157"/>
        <v>Sud-Ubangi</v>
      </c>
      <c r="G1001" s="4" t="str">
        <f>IFERROR(VLOOKUP(C1001,'Registre maintenance'!B:F,2,FALSE),"Non trouvé")</f>
        <v>Non trouvé</v>
      </c>
      <c r="H1001" t="str">
        <f>IFERROR(VLOOKUP(C1001,'Registre maintenance'!B:F,3,FALSE),"Non trouvé")</f>
        <v>Non trouvé</v>
      </c>
      <c r="I1001" t="str">
        <f>IFERROR(VLOOKUP(C1001,'Registre maintenance'!B:F,4,FALSE),"Non trouvé")</f>
        <v>Non trouvé</v>
      </c>
      <c r="J1001" t="str">
        <f>IFERROR(VLOOKUP(C1001,'Registre maintenance'!B:F,5,FALSE),"Non trouvé")</f>
        <v>Non trouvé</v>
      </c>
      <c r="K1001" t="str">
        <f t="shared" si="151"/>
        <v>Mismatch</v>
      </c>
    </row>
    <row r="1002" spans="1:11" x14ac:dyDescent="0.3">
      <c r="A1002" t="s">
        <v>1445</v>
      </c>
      <c r="B1002" s="1">
        <v>45203.603472222218</v>
      </c>
      <c r="C1002" t="s">
        <v>1446</v>
      </c>
      <c r="D1002">
        <v>106</v>
      </c>
      <c r="E1002" t="s">
        <v>795</v>
      </c>
      <c r="F1002" s="4" t="str">
        <f t="shared" si="157"/>
        <v>Sud-Ubangi</v>
      </c>
      <c r="G1002" s="4" t="str">
        <f>IFERROR(VLOOKUP(C1002,'Registre maintenance'!B:F,2,FALSE),"Non trouvé")</f>
        <v>Non trouvé</v>
      </c>
      <c r="H1002" t="str">
        <f>IFERROR(VLOOKUP(C1002,'Registre maintenance'!B:F,3,FALSE),"Non trouvé")</f>
        <v>Non trouvé</v>
      </c>
      <c r="I1002" t="str">
        <f>IFERROR(VLOOKUP(C1002,'Registre maintenance'!B:F,4,FALSE),"Non trouvé")</f>
        <v>Non trouvé</v>
      </c>
      <c r="J1002" t="str">
        <f>IFERROR(VLOOKUP(C1002,'Registre maintenance'!B:F,5,FALSE),"Non trouvé")</f>
        <v>Non trouvé</v>
      </c>
      <c r="K1002" t="str">
        <f t="shared" si="151"/>
        <v>Mismatch</v>
      </c>
    </row>
    <row r="1003" spans="1:11" x14ac:dyDescent="0.3">
      <c r="A1003" t="s">
        <v>1445</v>
      </c>
      <c r="B1003" s="1">
        <v>45221.772222222222</v>
      </c>
      <c r="C1003" t="s">
        <v>969</v>
      </c>
      <c r="D1003">
        <v>107</v>
      </c>
      <c r="E1003" t="s">
        <v>792</v>
      </c>
      <c r="F1003" s="4" t="s">
        <v>32</v>
      </c>
      <c r="G1003" s="4" t="str">
        <f>IFERROR(VLOOKUP(C1003,'Registre maintenance'!B:F,2,FALSE),"Non trouvé")</f>
        <v>Kasai-Central</v>
      </c>
      <c r="H1003">
        <f>IFERROR(VLOOKUP(C1003,'Registre maintenance'!B:F,3,FALSE),"Non trouvé")</f>
        <v>-4.4451280000000004</v>
      </c>
      <c r="I1003">
        <f>IFERROR(VLOOKUP(C1003,'Registre maintenance'!B:F,4,FALSE),"Non trouvé")</f>
        <v>16.536944999999999</v>
      </c>
      <c r="J1003" t="str">
        <f>IFERROR(VLOOKUP(C1003,'Registre maintenance'!B:F,5,FALSE),"Non trouvé")</f>
        <v>4G</v>
      </c>
      <c r="K1003" t="str">
        <f t="shared" si="151"/>
        <v>OK</v>
      </c>
    </row>
    <row r="1004" spans="1:11" x14ac:dyDescent="0.3">
      <c r="A1004" t="s">
        <v>1445</v>
      </c>
      <c r="B1004" s="1">
        <v>45204.625</v>
      </c>
      <c r="C1004" t="s">
        <v>1447</v>
      </c>
      <c r="D1004">
        <v>94</v>
      </c>
      <c r="E1004" t="s">
        <v>797</v>
      </c>
      <c r="F1004" s="4" t="str">
        <f t="shared" ref="F1004:F1005" si="158">F1003</f>
        <v>Kasai-Central</v>
      </c>
      <c r="G1004" s="4" t="str">
        <f>IFERROR(VLOOKUP(C1004,'Registre maintenance'!B:F,2,FALSE),"Non trouvé")</f>
        <v>Non trouvé</v>
      </c>
      <c r="H1004" t="str">
        <f>IFERROR(VLOOKUP(C1004,'Registre maintenance'!B:F,3,FALSE),"Non trouvé")</f>
        <v>Non trouvé</v>
      </c>
      <c r="I1004" t="str">
        <f>IFERROR(VLOOKUP(C1004,'Registre maintenance'!B:F,4,FALSE),"Non trouvé")</f>
        <v>Non trouvé</v>
      </c>
      <c r="J1004" t="str">
        <f>IFERROR(VLOOKUP(C1004,'Registre maintenance'!B:F,5,FALSE),"Non trouvé")</f>
        <v>Non trouvé</v>
      </c>
      <c r="K1004" t="str">
        <f t="shared" si="151"/>
        <v>Mismatch</v>
      </c>
    </row>
    <row r="1005" spans="1:11" x14ac:dyDescent="0.3">
      <c r="A1005" t="s">
        <v>1445</v>
      </c>
      <c r="B1005" s="1">
        <v>45216.960416666669</v>
      </c>
      <c r="C1005" t="s">
        <v>1448</v>
      </c>
      <c r="D1005">
        <v>41</v>
      </c>
      <c r="E1005" t="s">
        <v>795</v>
      </c>
      <c r="F1005" s="4" t="str">
        <f t="shared" si="158"/>
        <v>Kasai-Central</v>
      </c>
      <c r="G1005" s="4" t="str">
        <f>IFERROR(VLOOKUP(C1005,'Registre maintenance'!B:F,2,FALSE),"Non trouvé")</f>
        <v>Non trouvé</v>
      </c>
      <c r="H1005" t="str">
        <f>IFERROR(VLOOKUP(C1005,'Registre maintenance'!B:F,3,FALSE),"Non trouvé")</f>
        <v>Non trouvé</v>
      </c>
      <c r="I1005" t="str">
        <f>IFERROR(VLOOKUP(C1005,'Registre maintenance'!B:F,4,FALSE),"Non trouvé")</f>
        <v>Non trouvé</v>
      </c>
      <c r="J1005" t="str">
        <f>IFERROR(VLOOKUP(C1005,'Registre maintenance'!B:F,5,FALSE),"Non trouvé")</f>
        <v>Non trouvé</v>
      </c>
      <c r="K1005" t="str">
        <f t="shared" si="151"/>
        <v>Mismatch</v>
      </c>
    </row>
    <row r="1006" spans="1:11" x14ac:dyDescent="0.3">
      <c r="A1006" t="s">
        <v>1445</v>
      </c>
      <c r="B1006" s="1">
        <v>45217.578472222223</v>
      </c>
      <c r="C1006" t="s">
        <v>1449</v>
      </c>
      <c r="D1006">
        <v>93</v>
      </c>
      <c r="E1006" t="s">
        <v>795</v>
      </c>
      <c r="F1006" s="4" t="s">
        <v>32</v>
      </c>
      <c r="G1006" s="4" t="str">
        <f>IFERROR(VLOOKUP(C1006,'Registre maintenance'!B:F,2,FALSE),"Non trouvé")</f>
        <v>Kasai-Central</v>
      </c>
      <c r="H1006">
        <f>IFERROR(VLOOKUP(C1006,'Registre maintenance'!B:F,3,FALSE),"Non trouvé")</f>
        <v>-10.735106</v>
      </c>
      <c r="I1006">
        <f>IFERROR(VLOOKUP(C1006,'Registre maintenance'!B:F,4,FALSE),"Non trouvé")</f>
        <v>27.868673999999999</v>
      </c>
      <c r="J1006" t="str">
        <f>IFERROR(VLOOKUP(C1006,'Registre maintenance'!B:F,5,FALSE),"Non trouvé")</f>
        <v>3G</v>
      </c>
      <c r="K1006" t="str">
        <f t="shared" si="151"/>
        <v>OK</v>
      </c>
    </row>
    <row r="1007" spans="1:11" x14ac:dyDescent="0.3">
      <c r="A1007" t="s">
        <v>1445</v>
      </c>
      <c r="B1007" s="1">
        <v>45218.665972222218</v>
      </c>
      <c r="C1007" t="s">
        <v>1450</v>
      </c>
      <c r="D1007">
        <v>90</v>
      </c>
      <c r="E1007" t="s">
        <v>797</v>
      </c>
      <c r="F1007" s="4" t="str">
        <f t="shared" ref="F1007:F1009" si="159">F1006</f>
        <v>Kasai-Central</v>
      </c>
      <c r="G1007" s="4" t="str">
        <f>IFERROR(VLOOKUP(C1007,'Registre maintenance'!B:F,2,FALSE),"Non trouvé")</f>
        <v>Non trouvé</v>
      </c>
      <c r="H1007" t="str">
        <f>IFERROR(VLOOKUP(C1007,'Registre maintenance'!B:F,3,FALSE),"Non trouvé")</f>
        <v>Non trouvé</v>
      </c>
      <c r="I1007" t="str">
        <f>IFERROR(VLOOKUP(C1007,'Registre maintenance'!B:F,4,FALSE),"Non trouvé")</f>
        <v>Non trouvé</v>
      </c>
      <c r="J1007" t="str">
        <f>IFERROR(VLOOKUP(C1007,'Registre maintenance'!B:F,5,FALSE),"Non trouvé")</f>
        <v>Non trouvé</v>
      </c>
      <c r="K1007" t="str">
        <f t="shared" si="151"/>
        <v>Mismatch</v>
      </c>
    </row>
    <row r="1008" spans="1:11" x14ac:dyDescent="0.3">
      <c r="A1008" t="s">
        <v>1445</v>
      </c>
      <c r="C1008" t="s">
        <v>1451</v>
      </c>
      <c r="D1008">
        <v>11</v>
      </c>
      <c r="E1008" t="s">
        <v>792</v>
      </c>
      <c r="F1008" s="4" t="str">
        <f t="shared" si="159"/>
        <v>Kasai-Central</v>
      </c>
      <c r="G1008" s="4" t="str">
        <f>IFERROR(VLOOKUP(C1008,'Registre maintenance'!B:F,2,FALSE),"Non trouvé")</f>
        <v>Non trouvé</v>
      </c>
      <c r="H1008" t="str">
        <f>IFERROR(VLOOKUP(C1008,'Registre maintenance'!B:F,3,FALSE),"Non trouvé")</f>
        <v>Non trouvé</v>
      </c>
      <c r="I1008" t="str">
        <f>IFERROR(VLOOKUP(C1008,'Registre maintenance'!B:F,4,FALSE),"Non trouvé")</f>
        <v>Non trouvé</v>
      </c>
      <c r="J1008" t="str">
        <f>IFERROR(VLOOKUP(C1008,'Registre maintenance'!B:F,5,FALSE),"Non trouvé")</f>
        <v>Non trouvé</v>
      </c>
      <c r="K1008" t="str">
        <f t="shared" si="151"/>
        <v>Mismatch</v>
      </c>
    </row>
    <row r="1009" spans="1:11" x14ac:dyDescent="0.3">
      <c r="A1009" t="s">
        <v>1445</v>
      </c>
      <c r="B1009" s="1">
        <v>45218.240277777782</v>
      </c>
      <c r="C1009" t="s">
        <v>927</v>
      </c>
      <c r="D1009">
        <v>53</v>
      </c>
      <c r="E1009" t="s">
        <v>797</v>
      </c>
      <c r="F1009" s="4" t="str">
        <f t="shared" si="159"/>
        <v>Kasai-Central</v>
      </c>
      <c r="G1009" s="4" t="str">
        <f>IFERROR(VLOOKUP(C1009,'Registre maintenance'!B:F,2,FALSE),"Non trouvé")</f>
        <v>Non trouvé</v>
      </c>
      <c r="H1009" t="str">
        <f>IFERROR(VLOOKUP(C1009,'Registre maintenance'!B:F,3,FALSE),"Non trouvé")</f>
        <v>Non trouvé</v>
      </c>
      <c r="I1009" t="str">
        <f>IFERROR(VLOOKUP(C1009,'Registre maintenance'!B:F,4,FALSE),"Non trouvé")</f>
        <v>Non trouvé</v>
      </c>
      <c r="J1009" t="str">
        <f>IFERROR(VLOOKUP(C1009,'Registre maintenance'!B:F,5,FALSE),"Non trouvé")</f>
        <v>Non trouvé</v>
      </c>
      <c r="K1009" t="str">
        <f t="shared" si="151"/>
        <v>Mismatch</v>
      </c>
    </row>
    <row r="1010" spans="1:11" x14ac:dyDescent="0.3">
      <c r="A1010" t="s">
        <v>1445</v>
      </c>
      <c r="B1010" s="1">
        <v>45226.17083333333</v>
      </c>
      <c r="C1010" t="s">
        <v>842</v>
      </c>
      <c r="D1010">
        <v>54</v>
      </c>
      <c r="E1010" t="s">
        <v>792</v>
      </c>
      <c r="F1010" s="4" t="s">
        <v>12</v>
      </c>
      <c r="G1010" s="4" t="str">
        <f>IFERROR(VLOOKUP(C1010,'Registre maintenance'!B:F,2,FALSE),"Non trouvé")</f>
        <v>Tshuapa</v>
      </c>
      <c r="H1010">
        <f>IFERROR(VLOOKUP(C1010,'Registre maintenance'!B:F,3,FALSE),"Non trouvé")</f>
        <v>-5.1030600000000002</v>
      </c>
      <c r="I1010">
        <f>IFERROR(VLOOKUP(C1010,'Registre maintenance'!B:F,4,FALSE),"Non trouvé")</f>
        <v>22.849231</v>
      </c>
      <c r="J1010" t="str">
        <f>IFERROR(VLOOKUP(C1010,'Registre maintenance'!B:F,5,FALSE),"Non trouvé")</f>
        <v>5G</v>
      </c>
      <c r="K1010" t="str">
        <f t="shared" si="151"/>
        <v>OK</v>
      </c>
    </row>
    <row r="1011" spans="1:11" x14ac:dyDescent="0.3">
      <c r="A1011" t="s">
        <v>1445</v>
      </c>
      <c r="B1011" s="1">
        <v>45212.901388888888</v>
      </c>
      <c r="C1011" t="s">
        <v>856</v>
      </c>
      <c r="D1011">
        <v>58</v>
      </c>
      <c r="E1011" t="s">
        <v>792</v>
      </c>
      <c r="F1011" s="4" t="s">
        <v>39</v>
      </c>
      <c r="G1011" s="4" t="str">
        <f>IFERROR(VLOOKUP(C1011,'Registre maintenance'!B:F,2,FALSE),"Non trouvé")</f>
        <v>Kwango</v>
      </c>
      <c r="H1011">
        <f>IFERROR(VLOOKUP(C1011,'Registre maintenance'!B:F,3,FALSE),"Non trouvé")</f>
        <v>-10.963041</v>
      </c>
      <c r="I1011">
        <f>IFERROR(VLOOKUP(C1011,'Registre maintenance'!B:F,4,FALSE),"Non trouvé")</f>
        <v>12.269857</v>
      </c>
      <c r="J1011" t="str">
        <f>IFERROR(VLOOKUP(C1011,'Registre maintenance'!B:F,5,FALSE),"Non trouvé")</f>
        <v>4G</v>
      </c>
      <c r="K1011" t="str">
        <f t="shared" si="151"/>
        <v>OK</v>
      </c>
    </row>
    <row r="1012" spans="1:11" x14ac:dyDescent="0.3">
      <c r="A1012" t="s">
        <v>1445</v>
      </c>
      <c r="B1012" s="1">
        <v>45219.438888888893</v>
      </c>
      <c r="C1012" t="s">
        <v>1452</v>
      </c>
      <c r="D1012">
        <v>105</v>
      </c>
      <c r="E1012" t="s">
        <v>795</v>
      </c>
      <c r="F1012" s="4" t="s">
        <v>30</v>
      </c>
      <c r="G1012" s="4" t="str">
        <f>IFERROR(VLOOKUP(C1012,'Registre maintenance'!B:F,2,FALSE),"Non trouvé")</f>
        <v>Sud-Ubangi</v>
      </c>
      <c r="H1012">
        <f>IFERROR(VLOOKUP(C1012,'Registre maintenance'!B:F,3,FALSE),"Non trouvé")</f>
        <v>-0.54908599999999996</v>
      </c>
      <c r="I1012">
        <f>IFERROR(VLOOKUP(C1012,'Registre maintenance'!B:F,4,FALSE),"Non trouvé")</f>
        <v>14.816867</v>
      </c>
      <c r="J1012" t="str">
        <f>IFERROR(VLOOKUP(C1012,'Registre maintenance'!B:F,5,FALSE),"Non trouvé")</f>
        <v>5G</v>
      </c>
      <c r="K1012" t="str">
        <f t="shared" si="151"/>
        <v>OK</v>
      </c>
    </row>
    <row r="1013" spans="1:11" x14ac:dyDescent="0.3">
      <c r="A1013" t="s">
        <v>1445</v>
      </c>
      <c r="B1013" s="1">
        <v>45228.518055555563</v>
      </c>
      <c r="C1013" t="s">
        <v>1394</v>
      </c>
      <c r="D1013">
        <v>92</v>
      </c>
      <c r="E1013" t="s">
        <v>797</v>
      </c>
      <c r="F1013" s="4" t="str">
        <f t="shared" ref="F1013:F1015" si="160">F1012</f>
        <v>Sud-Ubangi</v>
      </c>
      <c r="G1013" s="4" t="str">
        <f>IFERROR(VLOOKUP(C1013,'Registre maintenance'!B:F,2,FALSE),"Non trouvé")</f>
        <v>Non trouvé</v>
      </c>
      <c r="H1013" t="str">
        <f>IFERROR(VLOOKUP(C1013,'Registre maintenance'!B:F,3,FALSE),"Non trouvé")</f>
        <v>Non trouvé</v>
      </c>
      <c r="I1013" t="str">
        <f>IFERROR(VLOOKUP(C1013,'Registre maintenance'!B:F,4,FALSE),"Non trouvé")</f>
        <v>Non trouvé</v>
      </c>
      <c r="J1013" t="str">
        <f>IFERROR(VLOOKUP(C1013,'Registre maintenance'!B:F,5,FALSE),"Non trouvé")</f>
        <v>Non trouvé</v>
      </c>
      <c r="K1013" t="str">
        <f t="shared" si="151"/>
        <v>Mismatch</v>
      </c>
    </row>
    <row r="1014" spans="1:11" x14ac:dyDescent="0.3">
      <c r="A1014" t="s">
        <v>1445</v>
      </c>
      <c r="B1014" s="1">
        <v>45219.95</v>
      </c>
      <c r="C1014" t="s">
        <v>847</v>
      </c>
      <c r="D1014">
        <v>45</v>
      </c>
      <c r="E1014" t="s">
        <v>797</v>
      </c>
      <c r="F1014" s="4" t="str">
        <f t="shared" si="160"/>
        <v>Sud-Ubangi</v>
      </c>
      <c r="G1014" s="4" t="str">
        <f>IFERROR(VLOOKUP(C1014,'Registre maintenance'!B:F,2,FALSE),"Non trouvé")</f>
        <v>Non trouvé</v>
      </c>
      <c r="H1014" t="str">
        <f>IFERROR(VLOOKUP(C1014,'Registre maintenance'!B:F,3,FALSE),"Non trouvé")</f>
        <v>Non trouvé</v>
      </c>
      <c r="I1014" t="str">
        <f>IFERROR(VLOOKUP(C1014,'Registre maintenance'!B:F,4,FALSE),"Non trouvé")</f>
        <v>Non trouvé</v>
      </c>
      <c r="J1014" t="str">
        <f>IFERROR(VLOOKUP(C1014,'Registre maintenance'!B:F,5,FALSE),"Non trouvé")</f>
        <v>Non trouvé</v>
      </c>
      <c r="K1014" t="str">
        <f t="shared" si="151"/>
        <v>Mismatch</v>
      </c>
    </row>
    <row r="1015" spans="1:11" x14ac:dyDescent="0.3">
      <c r="A1015" t="s">
        <v>1445</v>
      </c>
      <c r="B1015" s="1">
        <v>45207.350694444453</v>
      </c>
      <c r="C1015" t="s">
        <v>1453</v>
      </c>
      <c r="D1015">
        <v>75</v>
      </c>
      <c r="E1015" t="s">
        <v>797</v>
      </c>
      <c r="F1015" s="4" t="str">
        <f t="shared" si="160"/>
        <v>Sud-Ubangi</v>
      </c>
      <c r="G1015" s="4" t="str">
        <f>IFERROR(VLOOKUP(C1015,'Registre maintenance'!B:F,2,FALSE),"Non trouvé")</f>
        <v>Non trouvé</v>
      </c>
      <c r="H1015" t="str">
        <f>IFERROR(VLOOKUP(C1015,'Registre maintenance'!B:F,3,FALSE),"Non trouvé")</f>
        <v>Non trouvé</v>
      </c>
      <c r="I1015" t="str">
        <f>IFERROR(VLOOKUP(C1015,'Registre maintenance'!B:F,4,FALSE),"Non trouvé")</f>
        <v>Non trouvé</v>
      </c>
      <c r="J1015" t="str">
        <f>IFERROR(VLOOKUP(C1015,'Registre maintenance'!B:F,5,FALSE),"Non trouvé")</f>
        <v>Non trouvé</v>
      </c>
      <c r="K1015" t="str">
        <f t="shared" si="151"/>
        <v>Mismatch</v>
      </c>
    </row>
    <row r="1016" spans="1:11" x14ac:dyDescent="0.3">
      <c r="A1016" t="s">
        <v>1445</v>
      </c>
      <c r="B1016" s="1">
        <v>45230.429166666669</v>
      </c>
      <c r="C1016" t="s">
        <v>1185</v>
      </c>
      <c r="D1016">
        <v>11</v>
      </c>
      <c r="E1016" t="s">
        <v>797</v>
      </c>
      <c r="F1016" s="4" t="s">
        <v>25</v>
      </c>
      <c r="G1016" s="4" t="str">
        <f>IFERROR(VLOOKUP(C1016,'Registre maintenance'!B:F,2,FALSE),"Non trouvé")</f>
        <v>Bas-Uele</v>
      </c>
      <c r="H1016">
        <f>IFERROR(VLOOKUP(C1016,'Registre maintenance'!B:F,3,FALSE),"Non trouvé")</f>
        <v>-2.8532869999999999</v>
      </c>
      <c r="I1016">
        <f>IFERROR(VLOOKUP(C1016,'Registre maintenance'!B:F,4,FALSE),"Non trouvé")</f>
        <v>22.117896000000002</v>
      </c>
      <c r="J1016" t="str">
        <f>IFERROR(VLOOKUP(C1016,'Registre maintenance'!B:F,5,FALSE),"Non trouvé")</f>
        <v>5G</v>
      </c>
      <c r="K1016" t="str">
        <f t="shared" si="151"/>
        <v>OK</v>
      </c>
    </row>
    <row r="1017" spans="1:11" x14ac:dyDescent="0.3">
      <c r="A1017" t="s">
        <v>1445</v>
      </c>
      <c r="B1017" s="1">
        <v>45214.172222222223</v>
      </c>
      <c r="C1017" t="s">
        <v>961</v>
      </c>
      <c r="D1017">
        <v>6</v>
      </c>
      <c r="E1017" t="s">
        <v>792</v>
      </c>
      <c r="F1017" s="4" t="s">
        <v>25</v>
      </c>
      <c r="G1017" s="4" t="str">
        <f>IFERROR(VLOOKUP(C1017,'Registre maintenance'!B:F,2,FALSE),"Non trouvé")</f>
        <v>Bas-Uele</v>
      </c>
      <c r="H1017">
        <f>IFERROR(VLOOKUP(C1017,'Registre maintenance'!B:F,3,FALSE),"Non trouvé")</f>
        <v>-3.6945459999999999</v>
      </c>
      <c r="I1017">
        <f>IFERROR(VLOOKUP(C1017,'Registre maintenance'!B:F,4,FALSE),"Non trouvé")</f>
        <v>16.809108999999999</v>
      </c>
      <c r="J1017" t="str">
        <f>IFERROR(VLOOKUP(C1017,'Registre maintenance'!B:F,5,FALSE),"Non trouvé")</f>
        <v>5G</v>
      </c>
      <c r="K1017" t="str">
        <f t="shared" si="151"/>
        <v>OK</v>
      </c>
    </row>
    <row r="1018" spans="1:11" x14ac:dyDescent="0.3">
      <c r="A1018" t="s">
        <v>1445</v>
      </c>
      <c r="B1018" s="1">
        <v>45213.822222222218</v>
      </c>
      <c r="C1018" t="s">
        <v>1454</v>
      </c>
      <c r="D1018">
        <v>100</v>
      </c>
      <c r="E1018" t="s">
        <v>795</v>
      </c>
      <c r="F1018" s="4" t="str">
        <f t="shared" ref="F1018:F1020" si="161">F1017</f>
        <v>Bas-Uele</v>
      </c>
      <c r="G1018" s="4" t="str">
        <f>IFERROR(VLOOKUP(C1018,'Registre maintenance'!B:F,2,FALSE),"Non trouvé")</f>
        <v>Non trouvé</v>
      </c>
      <c r="H1018" t="str">
        <f>IFERROR(VLOOKUP(C1018,'Registre maintenance'!B:F,3,FALSE),"Non trouvé")</f>
        <v>Non trouvé</v>
      </c>
      <c r="I1018" t="str">
        <f>IFERROR(VLOOKUP(C1018,'Registre maintenance'!B:F,4,FALSE),"Non trouvé")</f>
        <v>Non trouvé</v>
      </c>
      <c r="J1018" t="str">
        <f>IFERROR(VLOOKUP(C1018,'Registre maintenance'!B:F,5,FALSE),"Non trouvé")</f>
        <v>Non trouvé</v>
      </c>
      <c r="K1018" t="str">
        <f t="shared" si="151"/>
        <v>Mismatch</v>
      </c>
    </row>
    <row r="1019" spans="1:11" x14ac:dyDescent="0.3">
      <c r="A1019" t="s">
        <v>1445</v>
      </c>
      <c r="B1019" s="1">
        <v>45228.980555555558</v>
      </c>
      <c r="C1019" t="s">
        <v>998</v>
      </c>
      <c r="D1019">
        <v>37</v>
      </c>
      <c r="E1019" t="s">
        <v>795</v>
      </c>
      <c r="F1019" s="4" t="str">
        <f t="shared" si="161"/>
        <v>Bas-Uele</v>
      </c>
      <c r="G1019" s="4" t="str">
        <f>IFERROR(VLOOKUP(C1019,'Registre maintenance'!B:F,2,FALSE),"Non trouvé")</f>
        <v>Non trouvé</v>
      </c>
      <c r="H1019" t="str">
        <f>IFERROR(VLOOKUP(C1019,'Registre maintenance'!B:F,3,FALSE),"Non trouvé")</f>
        <v>Non trouvé</v>
      </c>
      <c r="I1019" t="str">
        <f>IFERROR(VLOOKUP(C1019,'Registre maintenance'!B:F,4,FALSE),"Non trouvé")</f>
        <v>Non trouvé</v>
      </c>
      <c r="J1019" t="str">
        <f>IFERROR(VLOOKUP(C1019,'Registre maintenance'!B:F,5,FALSE),"Non trouvé")</f>
        <v>Non trouvé</v>
      </c>
      <c r="K1019" t="str">
        <f t="shared" si="151"/>
        <v>Mismatch</v>
      </c>
    </row>
    <row r="1020" spans="1:11" x14ac:dyDescent="0.3">
      <c r="A1020" t="s">
        <v>1445</v>
      </c>
      <c r="B1020" s="1">
        <v>45209.940972222219</v>
      </c>
      <c r="C1020" t="s">
        <v>1220</v>
      </c>
      <c r="D1020">
        <v>30</v>
      </c>
      <c r="E1020" t="s">
        <v>797</v>
      </c>
      <c r="F1020" s="4" t="str">
        <f t="shared" si="161"/>
        <v>Bas-Uele</v>
      </c>
      <c r="G1020" s="4" t="str">
        <f>IFERROR(VLOOKUP(C1020,'Registre maintenance'!B:F,2,FALSE),"Non trouvé")</f>
        <v>Non trouvé</v>
      </c>
      <c r="H1020" t="str">
        <f>IFERROR(VLOOKUP(C1020,'Registre maintenance'!B:F,3,FALSE),"Non trouvé")</f>
        <v>Non trouvé</v>
      </c>
      <c r="I1020" t="str">
        <f>IFERROR(VLOOKUP(C1020,'Registre maintenance'!B:F,4,FALSE),"Non trouvé")</f>
        <v>Non trouvé</v>
      </c>
      <c r="J1020" t="str">
        <f>IFERROR(VLOOKUP(C1020,'Registre maintenance'!B:F,5,FALSE),"Non trouvé")</f>
        <v>Non trouvé</v>
      </c>
      <c r="K1020" t="str">
        <f t="shared" si="151"/>
        <v>Mismatch</v>
      </c>
    </row>
    <row r="1021" spans="1:11" x14ac:dyDescent="0.3">
      <c r="A1021" t="s">
        <v>1445</v>
      </c>
      <c r="B1021" s="1">
        <v>45227.447916666657</v>
      </c>
      <c r="C1021" t="s">
        <v>1218</v>
      </c>
      <c r="D1021">
        <v>84</v>
      </c>
      <c r="E1021" t="s">
        <v>795</v>
      </c>
      <c r="F1021" s="4" t="s">
        <v>20</v>
      </c>
      <c r="G1021" s="4" t="str">
        <f>IFERROR(VLOOKUP(C1021,'Registre maintenance'!B:F,2,FALSE),"Non trouvé")</f>
        <v>Sud-Kivu</v>
      </c>
      <c r="H1021">
        <f>IFERROR(VLOOKUP(C1021,'Registre maintenance'!B:F,3,FALSE),"Non trouvé")</f>
        <v>2.4414509999999998</v>
      </c>
      <c r="I1021">
        <f>IFERROR(VLOOKUP(C1021,'Registre maintenance'!B:F,4,FALSE),"Non trouvé")</f>
        <v>30.167489</v>
      </c>
      <c r="J1021" t="str">
        <f>IFERROR(VLOOKUP(C1021,'Registre maintenance'!B:F,5,FALSE),"Non trouvé")</f>
        <v>5G</v>
      </c>
      <c r="K1021" t="str">
        <f t="shared" si="151"/>
        <v>OK</v>
      </c>
    </row>
    <row r="1022" spans="1:11" x14ac:dyDescent="0.3">
      <c r="A1022" t="s">
        <v>1445</v>
      </c>
      <c r="B1022" s="1">
        <v>45223.736111111109</v>
      </c>
      <c r="C1022" t="s">
        <v>1008</v>
      </c>
      <c r="D1022">
        <v>116</v>
      </c>
      <c r="E1022" t="s">
        <v>795</v>
      </c>
      <c r="F1022" s="4" t="s">
        <v>23</v>
      </c>
      <c r="G1022" s="4" t="str">
        <f>IFERROR(VLOOKUP(C1022,'Registre maintenance'!B:F,2,FALSE),"Non trouvé")</f>
        <v>Haut-Katanga</v>
      </c>
      <c r="H1022">
        <f>IFERROR(VLOOKUP(C1022,'Registre maintenance'!B:F,3,FALSE),"Non trouvé")</f>
        <v>0.16841400000000001</v>
      </c>
      <c r="I1022">
        <f>IFERROR(VLOOKUP(C1022,'Registre maintenance'!B:F,4,FALSE),"Non trouvé")</f>
        <v>30.029876999999999</v>
      </c>
      <c r="J1022" t="str">
        <f>IFERROR(VLOOKUP(C1022,'Registre maintenance'!B:F,5,FALSE),"Non trouvé")</f>
        <v>5G</v>
      </c>
      <c r="K1022" t="str">
        <f t="shared" si="151"/>
        <v>OK</v>
      </c>
    </row>
    <row r="1023" spans="1:11" x14ac:dyDescent="0.3">
      <c r="A1023" t="s">
        <v>1445</v>
      </c>
      <c r="B1023" s="1">
        <v>45206.259027777778</v>
      </c>
      <c r="C1023" t="s">
        <v>1455</v>
      </c>
      <c r="D1023">
        <v>104</v>
      </c>
      <c r="E1023" t="s">
        <v>792</v>
      </c>
      <c r="F1023" s="4" t="str">
        <f t="shared" ref="F1023:F1025" si="162">F1022</f>
        <v>Haut-Katanga</v>
      </c>
      <c r="G1023" s="4" t="str">
        <f>IFERROR(VLOOKUP(C1023,'Registre maintenance'!B:F,2,FALSE),"Non trouvé")</f>
        <v>Non trouvé</v>
      </c>
      <c r="H1023" t="str">
        <f>IFERROR(VLOOKUP(C1023,'Registre maintenance'!B:F,3,FALSE),"Non trouvé")</f>
        <v>Non trouvé</v>
      </c>
      <c r="I1023" t="str">
        <f>IFERROR(VLOOKUP(C1023,'Registre maintenance'!B:F,4,FALSE),"Non trouvé")</f>
        <v>Non trouvé</v>
      </c>
      <c r="J1023" t="str">
        <f>IFERROR(VLOOKUP(C1023,'Registre maintenance'!B:F,5,FALSE),"Non trouvé")</f>
        <v>Non trouvé</v>
      </c>
      <c r="K1023" t="str">
        <f t="shared" si="151"/>
        <v>Mismatch</v>
      </c>
    </row>
    <row r="1024" spans="1:11" x14ac:dyDescent="0.3">
      <c r="A1024" t="s">
        <v>1445</v>
      </c>
      <c r="B1024" s="1">
        <v>45219.929166666669</v>
      </c>
      <c r="C1024" t="s">
        <v>1456</v>
      </c>
      <c r="D1024">
        <v>115</v>
      </c>
      <c r="E1024" t="s">
        <v>792</v>
      </c>
      <c r="F1024" s="4" t="str">
        <f t="shared" si="162"/>
        <v>Haut-Katanga</v>
      </c>
      <c r="G1024" s="4" t="str">
        <f>IFERROR(VLOOKUP(C1024,'Registre maintenance'!B:F,2,FALSE),"Non trouvé")</f>
        <v>Non trouvé</v>
      </c>
      <c r="H1024" t="str">
        <f>IFERROR(VLOOKUP(C1024,'Registre maintenance'!B:F,3,FALSE),"Non trouvé")</f>
        <v>Non trouvé</v>
      </c>
      <c r="I1024" t="str">
        <f>IFERROR(VLOOKUP(C1024,'Registre maintenance'!B:F,4,FALSE),"Non trouvé")</f>
        <v>Non trouvé</v>
      </c>
      <c r="J1024" t="str">
        <f>IFERROR(VLOOKUP(C1024,'Registre maintenance'!B:F,5,FALSE),"Non trouvé")</f>
        <v>Non trouvé</v>
      </c>
      <c r="K1024" t="str">
        <f t="shared" si="151"/>
        <v>Mismatch</v>
      </c>
    </row>
    <row r="1025" spans="1:11" x14ac:dyDescent="0.3">
      <c r="A1025" t="s">
        <v>1445</v>
      </c>
      <c r="B1025" s="1">
        <v>45221.498611111107</v>
      </c>
      <c r="C1025" t="s">
        <v>1457</v>
      </c>
      <c r="D1025">
        <v>116</v>
      </c>
      <c r="E1025" t="s">
        <v>795</v>
      </c>
      <c r="F1025" s="4" t="str">
        <f t="shared" si="162"/>
        <v>Haut-Katanga</v>
      </c>
      <c r="G1025" s="4" t="str">
        <f>IFERROR(VLOOKUP(C1025,'Registre maintenance'!B:F,2,FALSE),"Non trouvé")</f>
        <v>Non trouvé</v>
      </c>
      <c r="H1025" t="str">
        <f>IFERROR(VLOOKUP(C1025,'Registre maintenance'!B:F,3,FALSE),"Non trouvé")</f>
        <v>Non trouvé</v>
      </c>
      <c r="I1025" t="str">
        <f>IFERROR(VLOOKUP(C1025,'Registre maintenance'!B:F,4,FALSE),"Non trouvé")</f>
        <v>Non trouvé</v>
      </c>
      <c r="J1025" t="str">
        <f>IFERROR(VLOOKUP(C1025,'Registre maintenance'!B:F,5,FALSE),"Non trouvé")</f>
        <v>Non trouvé</v>
      </c>
      <c r="K1025" t="str">
        <f t="shared" si="151"/>
        <v>Mismatch</v>
      </c>
    </row>
    <row r="1026" spans="1:11" x14ac:dyDescent="0.3">
      <c r="A1026" t="s">
        <v>1445</v>
      </c>
      <c r="B1026" s="1">
        <v>45221.197916666657</v>
      </c>
      <c r="C1026" t="s">
        <v>1054</v>
      </c>
      <c r="D1026">
        <v>61</v>
      </c>
      <c r="E1026" t="s">
        <v>797</v>
      </c>
      <c r="F1026" s="4" t="s">
        <v>39</v>
      </c>
      <c r="G1026" s="4" t="str">
        <f>IFERROR(VLOOKUP(C1026,'Registre maintenance'!B:F,2,FALSE),"Non trouvé")</f>
        <v>Kwango</v>
      </c>
      <c r="H1026">
        <f>IFERROR(VLOOKUP(C1026,'Registre maintenance'!B:F,3,FALSE),"Non trouvé")</f>
        <v>-7.5129409999999996</v>
      </c>
      <c r="I1026">
        <f>IFERROR(VLOOKUP(C1026,'Registre maintenance'!B:F,4,FALSE),"Non trouvé")</f>
        <v>18.701522000000001</v>
      </c>
      <c r="J1026" t="str">
        <f>IFERROR(VLOOKUP(C1026,'Registre maintenance'!B:F,5,FALSE),"Non trouvé")</f>
        <v>4G</v>
      </c>
      <c r="K1026" t="str">
        <f t="shared" ref="K1026:K1085" si="163">IF(F1026=G1026,"OK","Mismatch")</f>
        <v>OK</v>
      </c>
    </row>
    <row r="1027" spans="1:11" x14ac:dyDescent="0.3">
      <c r="A1027" t="s">
        <v>1445</v>
      </c>
      <c r="B1027" s="1">
        <v>45220.230555555558</v>
      </c>
      <c r="C1027" t="s">
        <v>848</v>
      </c>
      <c r="D1027">
        <v>111</v>
      </c>
      <c r="E1027" t="s">
        <v>797</v>
      </c>
      <c r="F1027" s="4" t="str">
        <f t="shared" ref="F1027:F1030" si="164">F1026</f>
        <v>Kwango</v>
      </c>
      <c r="G1027" s="4" t="str">
        <f>IFERROR(VLOOKUP(C1027,'Registre maintenance'!B:F,2,FALSE),"Non trouvé")</f>
        <v>Non trouvé</v>
      </c>
      <c r="H1027" t="str">
        <f>IFERROR(VLOOKUP(C1027,'Registre maintenance'!B:F,3,FALSE),"Non trouvé")</f>
        <v>Non trouvé</v>
      </c>
      <c r="I1027" t="str">
        <f>IFERROR(VLOOKUP(C1027,'Registre maintenance'!B:F,4,FALSE),"Non trouvé")</f>
        <v>Non trouvé</v>
      </c>
      <c r="J1027" t="str">
        <f>IFERROR(VLOOKUP(C1027,'Registre maintenance'!B:F,5,FALSE),"Non trouvé")</f>
        <v>Non trouvé</v>
      </c>
      <c r="K1027" t="str">
        <f t="shared" si="163"/>
        <v>Mismatch</v>
      </c>
    </row>
    <row r="1028" spans="1:11" x14ac:dyDescent="0.3">
      <c r="A1028" t="s">
        <v>1445</v>
      </c>
      <c r="B1028" s="1">
        <v>45217.944444444453</v>
      </c>
      <c r="C1028" t="s">
        <v>1458</v>
      </c>
      <c r="D1028">
        <v>33</v>
      </c>
      <c r="E1028" t="s">
        <v>792</v>
      </c>
      <c r="F1028" s="4" t="str">
        <f t="shared" si="164"/>
        <v>Kwango</v>
      </c>
      <c r="G1028" s="4" t="str">
        <f>IFERROR(VLOOKUP(C1028,'Registre maintenance'!B:F,2,FALSE),"Non trouvé")</f>
        <v>Non trouvé</v>
      </c>
      <c r="H1028" t="str">
        <f>IFERROR(VLOOKUP(C1028,'Registre maintenance'!B:F,3,FALSE),"Non trouvé")</f>
        <v>Non trouvé</v>
      </c>
      <c r="I1028" t="str">
        <f>IFERROR(VLOOKUP(C1028,'Registre maintenance'!B:F,4,FALSE),"Non trouvé")</f>
        <v>Non trouvé</v>
      </c>
      <c r="J1028" t="str">
        <f>IFERROR(VLOOKUP(C1028,'Registre maintenance'!B:F,5,FALSE),"Non trouvé")</f>
        <v>Non trouvé</v>
      </c>
      <c r="K1028" t="str">
        <f t="shared" si="163"/>
        <v>Mismatch</v>
      </c>
    </row>
    <row r="1029" spans="1:11" x14ac:dyDescent="0.3">
      <c r="A1029" t="s">
        <v>1445</v>
      </c>
      <c r="B1029" s="1">
        <v>45210.921527777777</v>
      </c>
      <c r="C1029" t="s">
        <v>1261</v>
      </c>
      <c r="D1029">
        <v>86</v>
      </c>
      <c r="E1029" t="s">
        <v>795</v>
      </c>
      <c r="F1029" s="4" t="str">
        <f t="shared" si="164"/>
        <v>Kwango</v>
      </c>
      <c r="G1029" s="4" t="str">
        <f>IFERROR(VLOOKUP(C1029,'Registre maintenance'!B:F,2,FALSE),"Non trouvé")</f>
        <v>Non trouvé</v>
      </c>
      <c r="H1029" t="str">
        <f>IFERROR(VLOOKUP(C1029,'Registre maintenance'!B:F,3,FALSE),"Non trouvé")</f>
        <v>Non trouvé</v>
      </c>
      <c r="I1029" t="str">
        <f>IFERROR(VLOOKUP(C1029,'Registre maintenance'!B:F,4,FALSE),"Non trouvé")</f>
        <v>Non trouvé</v>
      </c>
      <c r="J1029" t="str">
        <f>IFERROR(VLOOKUP(C1029,'Registre maintenance'!B:F,5,FALSE),"Non trouvé")</f>
        <v>Non trouvé</v>
      </c>
      <c r="K1029" t="str">
        <f t="shared" si="163"/>
        <v>Mismatch</v>
      </c>
    </row>
    <row r="1030" spans="1:11" x14ac:dyDescent="0.3">
      <c r="A1030" t="s">
        <v>1445</v>
      </c>
      <c r="B1030" s="1">
        <v>45224.482638888891</v>
      </c>
      <c r="C1030" t="s">
        <v>809</v>
      </c>
      <c r="D1030">
        <v>95</v>
      </c>
      <c r="E1030" t="s">
        <v>795</v>
      </c>
      <c r="F1030" s="4" t="str">
        <f t="shared" si="164"/>
        <v>Kwango</v>
      </c>
      <c r="G1030" s="4" t="str">
        <f>IFERROR(VLOOKUP(C1030,'Registre maintenance'!B:F,2,FALSE),"Non trouvé")</f>
        <v>Non trouvé</v>
      </c>
      <c r="H1030" t="str">
        <f>IFERROR(VLOOKUP(C1030,'Registre maintenance'!B:F,3,FALSE),"Non trouvé")</f>
        <v>Non trouvé</v>
      </c>
      <c r="I1030" t="str">
        <f>IFERROR(VLOOKUP(C1030,'Registre maintenance'!B:F,4,FALSE),"Non trouvé")</f>
        <v>Non trouvé</v>
      </c>
      <c r="J1030" t="str">
        <f>IFERROR(VLOOKUP(C1030,'Registre maintenance'!B:F,5,FALSE),"Non trouvé")</f>
        <v>Non trouvé</v>
      </c>
      <c r="K1030" t="str">
        <f t="shared" si="163"/>
        <v>Mismatch</v>
      </c>
    </row>
    <row r="1031" spans="1:11" x14ac:dyDescent="0.3">
      <c r="A1031" t="s">
        <v>1445</v>
      </c>
      <c r="B1031" s="1">
        <v>45215.775000000001</v>
      </c>
      <c r="C1031" t="s">
        <v>1155</v>
      </c>
      <c r="D1031">
        <v>95</v>
      </c>
      <c r="E1031" t="s">
        <v>795</v>
      </c>
      <c r="F1031" s="4" t="s">
        <v>72</v>
      </c>
      <c r="G1031" s="4" t="str">
        <f>IFERROR(VLOOKUP(C1031,'Registre maintenance'!B:F,2,FALSE),"Non trouvé")</f>
        <v>Tshopo</v>
      </c>
      <c r="H1031">
        <f>IFERROR(VLOOKUP(C1031,'Registre maintenance'!B:F,3,FALSE),"Non trouvé")</f>
        <v>-0.85624699999999998</v>
      </c>
      <c r="I1031">
        <f>IFERROR(VLOOKUP(C1031,'Registre maintenance'!B:F,4,FALSE),"Non trouvé")</f>
        <v>28.624870000000001</v>
      </c>
      <c r="J1031" t="str">
        <f>IFERROR(VLOOKUP(C1031,'Registre maintenance'!B:F,5,FALSE),"Non trouvé")</f>
        <v>3G</v>
      </c>
      <c r="K1031" t="str">
        <f t="shared" si="163"/>
        <v>OK</v>
      </c>
    </row>
    <row r="1032" spans="1:11" x14ac:dyDescent="0.3">
      <c r="A1032" t="s">
        <v>1445</v>
      </c>
      <c r="B1032" s="1">
        <v>45230.90625</v>
      </c>
      <c r="C1032" t="s">
        <v>1396</v>
      </c>
      <c r="D1032">
        <v>87</v>
      </c>
      <c r="E1032" t="s">
        <v>792</v>
      </c>
      <c r="F1032" s="4" t="str">
        <f>F1031</f>
        <v>Tshopo</v>
      </c>
      <c r="G1032" s="4" t="str">
        <f>IFERROR(VLOOKUP(C1032,'Registre maintenance'!B:F,2,FALSE),"Non trouvé")</f>
        <v>Non trouvé</v>
      </c>
      <c r="H1032" t="str">
        <f>IFERROR(VLOOKUP(C1032,'Registre maintenance'!B:F,3,FALSE),"Non trouvé")</f>
        <v>Non trouvé</v>
      </c>
      <c r="I1032" t="str">
        <f>IFERROR(VLOOKUP(C1032,'Registre maintenance'!B:F,4,FALSE),"Non trouvé")</f>
        <v>Non trouvé</v>
      </c>
      <c r="J1032" t="str">
        <f>IFERROR(VLOOKUP(C1032,'Registre maintenance'!B:F,5,FALSE),"Non trouvé")</f>
        <v>Non trouvé</v>
      </c>
      <c r="K1032" t="str">
        <f t="shared" si="163"/>
        <v>Mismatch</v>
      </c>
    </row>
    <row r="1033" spans="1:11" x14ac:dyDescent="0.3">
      <c r="A1033" t="s">
        <v>1445</v>
      </c>
      <c r="B1033" s="1">
        <v>45213.907638888893</v>
      </c>
      <c r="C1033" t="s">
        <v>1418</v>
      </c>
      <c r="D1033">
        <v>52</v>
      </c>
      <c r="E1033" t="s">
        <v>792</v>
      </c>
      <c r="F1033" s="4" t="s">
        <v>129</v>
      </c>
      <c r="G1033" s="4" t="str">
        <f>IFERROR(VLOOKUP(C1033,'Registre maintenance'!B:F,2,FALSE),"Non trouvé")</f>
        <v>Nord-Kivu</v>
      </c>
      <c r="H1033">
        <f>IFERROR(VLOOKUP(C1033,'Registre maintenance'!B:F,3,FALSE),"Non trouvé")</f>
        <v>-10.298385</v>
      </c>
      <c r="I1033">
        <f>IFERROR(VLOOKUP(C1033,'Registre maintenance'!B:F,4,FALSE),"Non trouvé")</f>
        <v>29.698117</v>
      </c>
      <c r="J1033" t="str">
        <f>IFERROR(VLOOKUP(C1033,'Registre maintenance'!B:F,5,FALSE),"Non trouvé")</f>
        <v>5G</v>
      </c>
      <c r="K1033" t="str">
        <f t="shared" si="163"/>
        <v>OK</v>
      </c>
    </row>
    <row r="1034" spans="1:11" x14ac:dyDescent="0.3">
      <c r="A1034" t="s">
        <v>1445</v>
      </c>
      <c r="B1034" s="1">
        <v>45228.720833333333</v>
      </c>
      <c r="C1034" t="s">
        <v>1459</v>
      </c>
      <c r="D1034">
        <v>101</v>
      </c>
      <c r="E1034" t="s">
        <v>795</v>
      </c>
      <c r="F1034" s="4" t="str">
        <f t="shared" ref="F1034:F1035" si="165">F1033</f>
        <v>Nord-Kivu</v>
      </c>
      <c r="G1034" s="4" t="str">
        <f>IFERROR(VLOOKUP(C1034,'Registre maintenance'!B:F,2,FALSE),"Non trouvé")</f>
        <v>Non trouvé</v>
      </c>
      <c r="H1034" t="str">
        <f>IFERROR(VLOOKUP(C1034,'Registre maintenance'!B:F,3,FALSE),"Non trouvé")</f>
        <v>Non trouvé</v>
      </c>
      <c r="I1034" t="str">
        <f>IFERROR(VLOOKUP(C1034,'Registre maintenance'!B:F,4,FALSE),"Non trouvé")</f>
        <v>Non trouvé</v>
      </c>
      <c r="J1034" t="str">
        <f>IFERROR(VLOOKUP(C1034,'Registre maintenance'!B:F,5,FALSE),"Non trouvé")</f>
        <v>Non trouvé</v>
      </c>
      <c r="K1034" t="str">
        <f t="shared" si="163"/>
        <v>Mismatch</v>
      </c>
    </row>
    <row r="1035" spans="1:11" x14ac:dyDescent="0.3">
      <c r="A1035" t="s">
        <v>1445</v>
      </c>
      <c r="B1035" s="1">
        <v>45228.57708333333</v>
      </c>
      <c r="C1035" t="s">
        <v>941</v>
      </c>
      <c r="D1035">
        <v>80</v>
      </c>
      <c r="E1035" t="s">
        <v>797</v>
      </c>
      <c r="F1035" s="4" t="str">
        <f t="shared" si="165"/>
        <v>Nord-Kivu</v>
      </c>
      <c r="G1035" s="4" t="str">
        <f>IFERROR(VLOOKUP(C1035,'Registre maintenance'!B:F,2,FALSE),"Non trouvé")</f>
        <v>Non trouvé</v>
      </c>
      <c r="H1035" t="str">
        <f>IFERROR(VLOOKUP(C1035,'Registre maintenance'!B:F,3,FALSE),"Non trouvé")</f>
        <v>Non trouvé</v>
      </c>
      <c r="I1035" t="str">
        <f>IFERROR(VLOOKUP(C1035,'Registre maintenance'!B:F,4,FALSE),"Non trouvé")</f>
        <v>Non trouvé</v>
      </c>
      <c r="J1035" t="str">
        <f>IFERROR(VLOOKUP(C1035,'Registre maintenance'!B:F,5,FALSE),"Non trouvé")</f>
        <v>Non trouvé</v>
      </c>
      <c r="K1035" t="str">
        <f t="shared" si="163"/>
        <v>Mismatch</v>
      </c>
    </row>
    <row r="1036" spans="1:11" x14ac:dyDescent="0.3">
      <c r="A1036" t="s">
        <v>1445</v>
      </c>
      <c r="B1036" s="1">
        <v>45200.67083333333</v>
      </c>
      <c r="C1036" t="s">
        <v>1460</v>
      </c>
      <c r="D1036">
        <v>74</v>
      </c>
      <c r="E1036" t="s">
        <v>797</v>
      </c>
      <c r="F1036" s="4" t="s">
        <v>9</v>
      </c>
      <c r="G1036" s="4" t="str">
        <f>IFERROR(VLOOKUP(C1036,'Registre maintenance'!B:F,2,FALSE),"Non trouvé")</f>
        <v>Ituri</v>
      </c>
      <c r="H1036">
        <f>IFERROR(VLOOKUP(C1036,'Registre maintenance'!B:F,3,FALSE),"Non trouvé")</f>
        <v>-4.6426759999999998</v>
      </c>
      <c r="I1036">
        <f>IFERROR(VLOOKUP(C1036,'Registre maintenance'!B:F,4,FALSE),"Non trouvé")</f>
        <v>22.124254000000001</v>
      </c>
      <c r="J1036" t="str">
        <f>IFERROR(VLOOKUP(C1036,'Registre maintenance'!B:F,5,FALSE),"Non trouvé")</f>
        <v>4G</v>
      </c>
      <c r="K1036" t="str">
        <f t="shared" si="163"/>
        <v>OK</v>
      </c>
    </row>
    <row r="1037" spans="1:11" x14ac:dyDescent="0.3">
      <c r="A1037" t="s">
        <v>1445</v>
      </c>
      <c r="B1037" s="1">
        <v>45200.506249999999</v>
      </c>
      <c r="C1037" t="s">
        <v>1289</v>
      </c>
      <c r="D1037">
        <v>99</v>
      </c>
      <c r="E1037" t="s">
        <v>792</v>
      </c>
      <c r="F1037" s="4" t="s">
        <v>23</v>
      </c>
      <c r="G1037" s="4" t="str">
        <f>IFERROR(VLOOKUP(C1037,'Registre maintenance'!B:F,2,FALSE),"Non trouvé")</f>
        <v>Haut-Katanga</v>
      </c>
      <c r="H1037">
        <f>IFERROR(VLOOKUP(C1037,'Registre maintenance'!B:F,3,FALSE),"Non trouvé")</f>
        <v>-10.945031</v>
      </c>
      <c r="I1037">
        <f>IFERROR(VLOOKUP(C1037,'Registre maintenance'!B:F,4,FALSE),"Non trouvé")</f>
        <v>27.922274000000002</v>
      </c>
      <c r="J1037" t="str">
        <f>IFERROR(VLOOKUP(C1037,'Registre maintenance'!B:F,5,FALSE),"Non trouvé")</f>
        <v>4G</v>
      </c>
      <c r="K1037" t="str">
        <f t="shared" si="163"/>
        <v>OK</v>
      </c>
    </row>
    <row r="1038" spans="1:11" x14ac:dyDescent="0.3">
      <c r="A1038" t="s">
        <v>1445</v>
      </c>
      <c r="B1038" s="1">
        <v>45201.877083333333</v>
      </c>
      <c r="C1038" t="s">
        <v>960</v>
      </c>
      <c r="D1038">
        <v>82</v>
      </c>
      <c r="E1038" t="s">
        <v>797</v>
      </c>
      <c r="F1038" s="4" t="s">
        <v>129</v>
      </c>
      <c r="G1038" s="4" t="str">
        <f>IFERROR(VLOOKUP(C1038,'Registre maintenance'!B:F,2,FALSE),"Non trouvé")</f>
        <v>Nord-Kivu</v>
      </c>
      <c r="H1038">
        <f>IFERROR(VLOOKUP(C1038,'Registre maintenance'!B:F,3,FALSE),"Non trouvé")</f>
        <v>-12.336202</v>
      </c>
      <c r="I1038">
        <f>IFERROR(VLOOKUP(C1038,'Registre maintenance'!B:F,4,FALSE),"Non trouvé")</f>
        <v>13.693683999999999</v>
      </c>
      <c r="J1038" t="str">
        <f>IFERROR(VLOOKUP(C1038,'Registre maintenance'!B:F,5,FALSE),"Non trouvé")</f>
        <v>5G</v>
      </c>
      <c r="K1038" t="str">
        <f t="shared" si="163"/>
        <v>OK</v>
      </c>
    </row>
    <row r="1039" spans="1:11" x14ac:dyDescent="0.3">
      <c r="A1039" t="s">
        <v>1445</v>
      </c>
      <c r="B1039" s="1">
        <v>45206.366666666669</v>
      </c>
      <c r="C1039" t="s">
        <v>1461</v>
      </c>
      <c r="D1039">
        <v>30</v>
      </c>
      <c r="E1039" t="s">
        <v>797</v>
      </c>
      <c r="F1039" s="4" t="str">
        <f t="shared" ref="F1039:F1047" si="166">F1038</f>
        <v>Nord-Kivu</v>
      </c>
      <c r="G1039" s="4" t="str">
        <f>IFERROR(VLOOKUP(C1039,'Registre maintenance'!B:F,2,FALSE),"Non trouvé")</f>
        <v>Non trouvé</v>
      </c>
      <c r="H1039" t="str">
        <f>IFERROR(VLOOKUP(C1039,'Registre maintenance'!B:F,3,FALSE),"Non trouvé")</f>
        <v>Non trouvé</v>
      </c>
      <c r="I1039" t="str">
        <f>IFERROR(VLOOKUP(C1039,'Registre maintenance'!B:F,4,FALSE),"Non trouvé")</f>
        <v>Non trouvé</v>
      </c>
      <c r="J1039" t="str">
        <f>IFERROR(VLOOKUP(C1039,'Registre maintenance'!B:F,5,FALSE),"Non trouvé")</f>
        <v>Non trouvé</v>
      </c>
      <c r="K1039" t="str">
        <f t="shared" si="163"/>
        <v>Mismatch</v>
      </c>
    </row>
    <row r="1040" spans="1:11" x14ac:dyDescent="0.3">
      <c r="A1040" t="s">
        <v>1445</v>
      </c>
      <c r="B1040" s="1">
        <v>45225.220833333333</v>
      </c>
      <c r="C1040" t="s">
        <v>1462</v>
      </c>
      <c r="D1040">
        <v>104</v>
      </c>
      <c r="E1040" t="s">
        <v>795</v>
      </c>
      <c r="F1040" s="4" t="str">
        <f t="shared" si="166"/>
        <v>Nord-Kivu</v>
      </c>
      <c r="G1040" s="4" t="str">
        <f>IFERROR(VLOOKUP(C1040,'Registre maintenance'!B:F,2,FALSE),"Non trouvé")</f>
        <v>Non trouvé</v>
      </c>
      <c r="H1040" t="str">
        <f>IFERROR(VLOOKUP(C1040,'Registre maintenance'!B:F,3,FALSE),"Non trouvé")</f>
        <v>Non trouvé</v>
      </c>
      <c r="I1040" t="str">
        <f>IFERROR(VLOOKUP(C1040,'Registre maintenance'!B:F,4,FALSE),"Non trouvé")</f>
        <v>Non trouvé</v>
      </c>
      <c r="J1040" t="str">
        <f>IFERROR(VLOOKUP(C1040,'Registre maintenance'!B:F,5,FALSE),"Non trouvé")</f>
        <v>Non trouvé</v>
      </c>
      <c r="K1040" t="str">
        <f t="shared" si="163"/>
        <v>Mismatch</v>
      </c>
    </row>
    <row r="1041" spans="1:11" x14ac:dyDescent="0.3">
      <c r="A1041" t="s">
        <v>1445</v>
      </c>
      <c r="B1041" s="1">
        <v>45221.339583333327</v>
      </c>
      <c r="C1041" t="s">
        <v>1312</v>
      </c>
      <c r="D1041">
        <v>97</v>
      </c>
      <c r="E1041" t="s">
        <v>795</v>
      </c>
      <c r="F1041" s="4" t="str">
        <f t="shared" si="166"/>
        <v>Nord-Kivu</v>
      </c>
      <c r="G1041" s="4" t="str">
        <f>IFERROR(VLOOKUP(C1041,'Registre maintenance'!B:F,2,FALSE),"Non trouvé")</f>
        <v>Non trouvé</v>
      </c>
      <c r="H1041" t="str">
        <f>IFERROR(VLOOKUP(C1041,'Registre maintenance'!B:F,3,FALSE),"Non trouvé")</f>
        <v>Non trouvé</v>
      </c>
      <c r="I1041" t="str">
        <f>IFERROR(VLOOKUP(C1041,'Registre maintenance'!B:F,4,FALSE),"Non trouvé")</f>
        <v>Non trouvé</v>
      </c>
      <c r="J1041" t="str">
        <f>IFERROR(VLOOKUP(C1041,'Registre maintenance'!B:F,5,FALSE),"Non trouvé")</f>
        <v>Non trouvé</v>
      </c>
      <c r="K1041" t="str">
        <f t="shared" si="163"/>
        <v>Mismatch</v>
      </c>
    </row>
    <row r="1042" spans="1:11" x14ac:dyDescent="0.3">
      <c r="A1042" t="s">
        <v>1445</v>
      </c>
      <c r="B1042" s="1">
        <v>45226.072222222218</v>
      </c>
      <c r="C1042" t="s">
        <v>1463</v>
      </c>
      <c r="D1042">
        <v>29</v>
      </c>
      <c r="E1042" t="s">
        <v>797</v>
      </c>
      <c r="F1042" s="4" t="str">
        <f t="shared" si="166"/>
        <v>Nord-Kivu</v>
      </c>
      <c r="G1042" s="4" t="str">
        <f>IFERROR(VLOOKUP(C1042,'Registre maintenance'!B:F,2,FALSE),"Non trouvé")</f>
        <v>Non trouvé</v>
      </c>
      <c r="H1042" t="str">
        <f>IFERROR(VLOOKUP(C1042,'Registre maintenance'!B:F,3,FALSE),"Non trouvé")</f>
        <v>Non trouvé</v>
      </c>
      <c r="I1042" t="str">
        <f>IFERROR(VLOOKUP(C1042,'Registre maintenance'!B:F,4,FALSE),"Non trouvé")</f>
        <v>Non trouvé</v>
      </c>
      <c r="J1042" t="str">
        <f>IFERROR(VLOOKUP(C1042,'Registre maintenance'!B:F,5,FALSE),"Non trouvé")</f>
        <v>Non trouvé</v>
      </c>
      <c r="K1042" t="str">
        <f t="shared" si="163"/>
        <v>Mismatch</v>
      </c>
    </row>
    <row r="1043" spans="1:11" x14ac:dyDescent="0.3">
      <c r="A1043" t="s">
        <v>1445</v>
      </c>
      <c r="B1043" s="1">
        <v>45225.384027777778</v>
      </c>
      <c r="C1043" t="s">
        <v>1351</v>
      </c>
      <c r="D1043">
        <v>42</v>
      </c>
      <c r="E1043" t="s">
        <v>792</v>
      </c>
      <c r="F1043" s="4" t="str">
        <f t="shared" si="166"/>
        <v>Nord-Kivu</v>
      </c>
      <c r="G1043" s="4" t="str">
        <f>IFERROR(VLOOKUP(C1043,'Registre maintenance'!B:F,2,FALSE),"Non trouvé")</f>
        <v>Non trouvé</v>
      </c>
      <c r="H1043" t="str">
        <f>IFERROR(VLOOKUP(C1043,'Registre maintenance'!B:F,3,FALSE),"Non trouvé")</f>
        <v>Non trouvé</v>
      </c>
      <c r="I1043" t="str">
        <f>IFERROR(VLOOKUP(C1043,'Registre maintenance'!B:F,4,FALSE),"Non trouvé")</f>
        <v>Non trouvé</v>
      </c>
      <c r="J1043" t="str">
        <f>IFERROR(VLOOKUP(C1043,'Registre maintenance'!B:F,5,FALSE),"Non trouvé")</f>
        <v>Non trouvé</v>
      </c>
      <c r="K1043" t="str">
        <f t="shared" si="163"/>
        <v>Mismatch</v>
      </c>
    </row>
    <row r="1044" spans="1:11" x14ac:dyDescent="0.3">
      <c r="A1044" t="s">
        <v>1445</v>
      </c>
      <c r="B1044" s="1">
        <v>45224.709722222222</v>
      </c>
      <c r="C1044" t="s">
        <v>1464</v>
      </c>
      <c r="D1044">
        <v>62</v>
      </c>
      <c r="E1044" t="s">
        <v>795</v>
      </c>
      <c r="F1044" s="4" t="str">
        <f t="shared" si="166"/>
        <v>Nord-Kivu</v>
      </c>
      <c r="G1044" s="4" t="str">
        <f>IFERROR(VLOOKUP(C1044,'Registre maintenance'!B:F,2,FALSE),"Non trouvé")</f>
        <v>Non trouvé</v>
      </c>
      <c r="H1044" t="str">
        <f>IFERROR(VLOOKUP(C1044,'Registre maintenance'!B:F,3,FALSE),"Non trouvé")</f>
        <v>Non trouvé</v>
      </c>
      <c r="I1044" t="str">
        <f>IFERROR(VLOOKUP(C1044,'Registre maintenance'!B:F,4,FALSE),"Non trouvé")</f>
        <v>Non trouvé</v>
      </c>
      <c r="J1044" t="str">
        <f>IFERROR(VLOOKUP(C1044,'Registre maintenance'!B:F,5,FALSE),"Non trouvé")</f>
        <v>Non trouvé</v>
      </c>
      <c r="K1044" t="str">
        <f t="shared" si="163"/>
        <v>Mismatch</v>
      </c>
    </row>
    <row r="1045" spans="1:11" x14ac:dyDescent="0.3">
      <c r="A1045" t="s">
        <v>1445</v>
      </c>
      <c r="B1045" s="1">
        <v>45211.587500000001</v>
      </c>
      <c r="C1045" t="s">
        <v>1465</v>
      </c>
      <c r="D1045">
        <v>27</v>
      </c>
      <c r="E1045" t="s">
        <v>797</v>
      </c>
      <c r="F1045" s="4" t="str">
        <f t="shared" si="166"/>
        <v>Nord-Kivu</v>
      </c>
      <c r="G1045" s="4" t="str">
        <f>IFERROR(VLOOKUP(C1045,'Registre maintenance'!B:F,2,FALSE),"Non trouvé")</f>
        <v>Non trouvé</v>
      </c>
      <c r="H1045" t="str">
        <f>IFERROR(VLOOKUP(C1045,'Registre maintenance'!B:F,3,FALSE),"Non trouvé")</f>
        <v>Non trouvé</v>
      </c>
      <c r="I1045" t="str">
        <f>IFERROR(VLOOKUP(C1045,'Registre maintenance'!B:F,4,FALSE),"Non trouvé")</f>
        <v>Non trouvé</v>
      </c>
      <c r="J1045" t="str">
        <f>IFERROR(VLOOKUP(C1045,'Registre maintenance'!B:F,5,FALSE),"Non trouvé")</f>
        <v>Non trouvé</v>
      </c>
      <c r="K1045" t="str">
        <f t="shared" si="163"/>
        <v>Mismatch</v>
      </c>
    </row>
    <row r="1046" spans="1:11" x14ac:dyDescent="0.3">
      <c r="A1046" t="s">
        <v>1445</v>
      </c>
      <c r="B1046" s="1">
        <v>45219.907638888893</v>
      </c>
      <c r="C1046" t="s">
        <v>1466</v>
      </c>
      <c r="D1046">
        <v>92</v>
      </c>
      <c r="E1046" t="s">
        <v>795</v>
      </c>
      <c r="F1046" s="4" t="str">
        <f t="shared" si="166"/>
        <v>Nord-Kivu</v>
      </c>
      <c r="G1046" s="4" t="str">
        <f>IFERROR(VLOOKUP(C1046,'Registre maintenance'!B:F,2,FALSE),"Non trouvé")</f>
        <v>Non trouvé</v>
      </c>
      <c r="H1046" t="str">
        <f>IFERROR(VLOOKUP(C1046,'Registre maintenance'!B:F,3,FALSE),"Non trouvé")</f>
        <v>Non trouvé</v>
      </c>
      <c r="I1046" t="str">
        <f>IFERROR(VLOOKUP(C1046,'Registre maintenance'!B:F,4,FALSE),"Non trouvé")</f>
        <v>Non trouvé</v>
      </c>
      <c r="J1046" t="str">
        <f>IFERROR(VLOOKUP(C1046,'Registre maintenance'!B:F,5,FALSE),"Non trouvé")</f>
        <v>Non trouvé</v>
      </c>
      <c r="K1046" t="str">
        <f t="shared" si="163"/>
        <v>Mismatch</v>
      </c>
    </row>
    <row r="1047" spans="1:11" x14ac:dyDescent="0.3">
      <c r="A1047" t="s">
        <v>1445</v>
      </c>
      <c r="B1047" s="1">
        <v>45217.324305555558</v>
      </c>
      <c r="C1047" t="s">
        <v>1467</v>
      </c>
      <c r="D1047">
        <v>14</v>
      </c>
      <c r="E1047" t="s">
        <v>795</v>
      </c>
      <c r="F1047" s="4" t="str">
        <f t="shared" si="166"/>
        <v>Nord-Kivu</v>
      </c>
      <c r="G1047" s="4" t="str">
        <f>IFERROR(VLOOKUP(C1047,'Registre maintenance'!B:F,2,FALSE),"Non trouvé")</f>
        <v>Non trouvé</v>
      </c>
      <c r="H1047" t="str">
        <f>IFERROR(VLOOKUP(C1047,'Registre maintenance'!B:F,3,FALSE),"Non trouvé")</f>
        <v>Non trouvé</v>
      </c>
      <c r="I1047" t="str">
        <f>IFERROR(VLOOKUP(C1047,'Registre maintenance'!B:F,4,FALSE),"Non trouvé")</f>
        <v>Non trouvé</v>
      </c>
      <c r="J1047" t="str">
        <f>IFERROR(VLOOKUP(C1047,'Registre maintenance'!B:F,5,FALSE),"Non trouvé")</f>
        <v>Non trouvé</v>
      </c>
      <c r="K1047" t="str">
        <f t="shared" si="163"/>
        <v>Mismatch</v>
      </c>
    </row>
    <row r="1048" spans="1:11" x14ac:dyDescent="0.3">
      <c r="A1048" t="s">
        <v>1445</v>
      </c>
      <c r="B1048" s="1">
        <v>45220.724999999999</v>
      </c>
      <c r="C1048" t="s">
        <v>912</v>
      </c>
      <c r="D1048">
        <v>28</v>
      </c>
      <c r="E1048" t="s">
        <v>797</v>
      </c>
      <c r="F1048" s="4" t="s">
        <v>36</v>
      </c>
      <c r="G1048" s="4" t="str">
        <f>IFERROR(VLOOKUP(C1048,'Registre maintenance'!B:F,2,FALSE),"Non trouvé")</f>
        <v>Tanganyika</v>
      </c>
      <c r="H1048">
        <f>IFERROR(VLOOKUP(C1048,'Registre maintenance'!B:F,3,FALSE),"Non trouvé")</f>
        <v>-9.002459</v>
      </c>
      <c r="I1048">
        <f>IFERROR(VLOOKUP(C1048,'Registre maintenance'!B:F,4,FALSE),"Non trouvé")</f>
        <v>25.182109000000001</v>
      </c>
      <c r="J1048" t="str">
        <f>IFERROR(VLOOKUP(C1048,'Registre maintenance'!B:F,5,FALSE),"Non trouvé")</f>
        <v>5G</v>
      </c>
      <c r="K1048" t="str">
        <f t="shared" si="163"/>
        <v>OK</v>
      </c>
    </row>
    <row r="1049" spans="1:11" x14ac:dyDescent="0.3">
      <c r="A1049" t="s">
        <v>1445</v>
      </c>
      <c r="B1049" s="1">
        <v>45207.701388888891</v>
      </c>
      <c r="C1049" t="s">
        <v>1468</v>
      </c>
      <c r="D1049">
        <v>27</v>
      </c>
      <c r="E1049" t="s">
        <v>797</v>
      </c>
      <c r="F1049" s="4" t="str">
        <f t="shared" ref="F1049:F1058" si="167">F1048</f>
        <v>Tanganyika</v>
      </c>
      <c r="G1049" s="4" t="str">
        <f>IFERROR(VLOOKUP(C1049,'Registre maintenance'!B:F,2,FALSE),"Non trouvé")</f>
        <v>Non trouvé</v>
      </c>
      <c r="H1049" t="str">
        <f>IFERROR(VLOOKUP(C1049,'Registre maintenance'!B:F,3,FALSE),"Non trouvé")</f>
        <v>Non trouvé</v>
      </c>
      <c r="I1049" t="str">
        <f>IFERROR(VLOOKUP(C1049,'Registre maintenance'!B:F,4,FALSE),"Non trouvé")</f>
        <v>Non trouvé</v>
      </c>
      <c r="J1049" t="str">
        <f>IFERROR(VLOOKUP(C1049,'Registre maintenance'!B:F,5,FALSE),"Non trouvé")</f>
        <v>Non trouvé</v>
      </c>
      <c r="K1049" t="str">
        <f t="shared" si="163"/>
        <v>Mismatch</v>
      </c>
    </row>
    <row r="1050" spans="1:11" x14ac:dyDescent="0.3">
      <c r="A1050" t="s">
        <v>1445</v>
      </c>
      <c r="B1050" s="1">
        <v>45219.929166666669</v>
      </c>
      <c r="C1050" t="s">
        <v>1456</v>
      </c>
      <c r="D1050">
        <v>115</v>
      </c>
      <c r="E1050" t="s">
        <v>792</v>
      </c>
      <c r="F1050" s="4" t="str">
        <f t="shared" si="167"/>
        <v>Tanganyika</v>
      </c>
      <c r="G1050" s="4" t="str">
        <f>IFERROR(VLOOKUP(C1050,'Registre maintenance'!B:F,2,FALSE),"Non trouvé")</f>
        <v>Non trouvé</v>
      </c>
      <c r="H1050" t="str">
        <f>IFERROR(VLOOKUP(C1050,'Registre maintenance'!B:F,3,FALSE),"Non trouvé")</f>
        <v>Non trouvé</v>
      </c>
      <c r="I1050" t="str">
        <f>IFERROR(VLOOKUP(C1050,'Registre maintenance'!B:F,4,FALSE),"Non trouvé")</f>
        <v>Non trouvé</v>
      </c>
      <c r="J1050" t="str">
        <f>IFERROR(VLOOKUP(C1050,'Registre maintenance'!B:F,5,FALSE),"Non trouvé")</f>
        <v>Non trouvé</v>
      </c>
      <c r="K1050" t="str">
        <f t="shared" si="163"/>
        <v>Mismatch</v>
      </c>
    </row>
    <row r="1051" spans="1:11" x14ac:dyDescent="0.3">
      <c r="A1051" t="s">
        <v>1469</v>
      </c>
      <c r="B1051" s="1">
        <v>45230.731944444437</v>
      </c>
      <c r="C1051" t="s">
        <v>1090</v>
      </c>
      <c r="D1051">
        <v>52</v>
      </c>
      <c r="E1051" t="s">
        <v>792</v>
      </c>
      <c r="F1051" s="4" t="str">
        <f t="shared" si="167"/>
        <v>Tanganyika</v>
      </c>
      <c r="G1051" s="4" t="str">
        <f>IFERROR(VLOOKUP(C1051,'Registre maintenance'!B:F,2,FALSE),"Non trouvé")</f>
        <v>Non trouvé</v>
      </c>
      <c r="H1051" t="str">
        <f>IFERROR(VLOOKUP(C1051,'Registre maintenance'!B:F,3,FALSE),"Non trouvé")</f>
        <v>Non trouvé</v>
      </c>
      <c r="I1051" t="str">
        <f>IFERROR(VLOOKUP(C1051,'Registre maintenance'!B:F,4,FALSE),"Non trouvé")</f>
        <v>Non trouvé</v>
      </c>
      <c r="J1051" t="str">
        <f>IFERROR(VLOOKUP(C1051,'Registre maintenance'!B:F,5,FALSE),"Non trouvé")</f>
        <v>Non trouvé</v>
      </c>
      <c r="K1051" t="str">
        <f t="shared" si="163"/>
        <v>Mismatch</v>
      </c>
    </row>
    <row r="1052" spans="1:11" x14ac:dyDescent="0.3">
      <c r="A1052" t="s">
        <v>1469</v>
      </c>
      <c r="B1052" s="1">
        <v>45200.836111111108</v>
      </c>
      <c r="C1052" t="s">
        <v>1058</v>
      </c>
      <c r="D1052">
        <v>6</v>
      </c>
      <c r="E1052" t="s">
        <v>792</v>
      </c>
      <c r="F1052" s="4" t="str">
        <f t="shared" si="167"/>
        <v>Tanganyika</v>
      </c>
      <c r="G1052" s="4" t="str">
        <f>IFERROR(VLOOKUP(C1052,'Registre maintenance'!B:F,2,FALSE),"Non trouvé")</f>
        <v>Non trouvé</v>
      </c>
      <c r="H1052" t="str">
        <f>IFERROR(VLOOKUP(C1052,'Registre maintenance'!B:F,3,FALSE),"Non trouvé")</f>
        <v>Non trouvé</v>
      </c>
      <c r="I1052" t="str">
        <f>IFERROR(VLOOKUP(C1052,'Registre maintenance'!B:F,4,FALSE),"Non trouvé")</f>
        <v>Non trouvé</v>
      </c>
      <c r="J1052" t="str">
        <f>IFERROR(VLOOKUP(C1052,'Registre maintenance'!B:F,5,FALSE),"Non trouvé")</f>
        <v>Non trouvé</v>
      </c>
      <c r="K1052" t="str">
        <f t="shared" si="163"/>
        <v>Mismatch</v>
      </c>
    </row>
    <row r="1053" spans="1:11" x14ac:dyDescent="0.3">
      <c r="A1053" t="s">
        <v>1469</v>
      </c>
      <c r="B1053" s="1">
        <v>45206.902777777781</v>
      </c>
      <c r="C1053" t="s">
        <v>1470</v>
      </c>
      <c r="D1053">
        <v>75</v>
      </c>
      <c r="E1053" t="s">
        <v>797</v>
      </c>
      <c r="F1053" s="4" t="str">
        <f t="shared" si="167"/>
        <v>Tanganyika</v>
      </c>
      <c r="G1053" s="4" t="str">
        <f>IFERROR(VLOOKUP(C1053,'Registre maintenance'!B:F,2,FALSE),"Non trouvé")</f>
        <v>Non trouvé</v>
      </c>
      <c r="H1053" t="str">
        <f>IFERROR(VLOOKUP(C1053,'Registre maintenance'!B:F,3,FALSE),"Non trouvé")</f>
        <v>Non trouvé</v>
      </c>
      <c r="I1053" t="str">
        <f>IFERROR(VLOOKUP(C1053,'Registre maintenance'!B:F,4,FALSE),"Non trouvé")</f>
        <v>Non trouvé</v>
      </c>
      <c r="J1053" t="str">
        <f>IFERROR(VLOOKUP(C1053,'Registre maintenance'!B:F,5,FALSE),"Non trouvé")</f>
        <v>Non trouvé</v>
      </c>
      <c r="K1053" t="str">
        <f t="shared" si="163"/>
        <v>Mismatch</v>
      </c>
    </row>
    <row r="1054" spans="1:11" x14ac:dyDescent="0.3">
      <c r="A1054" t="s">
        <v>1469</v>
      </c>
      <c r="B1054" s="1">
        <v>45224.288194444453</v>
      </c>
      <c r="C1054" t="s">
        <v>1131</v>
      </c>
      <c r="D1054">
        <v>116</v>
      </c>
      <c r="E1054" t="s">
        <v>797</v>
      </c>
      <c r="F1054" s="4" t="str">
        <f t="shared" si="167"/>
        <v>Tanganyika</v>
      </c>
      <c r="G1054" s="4" t="str">
        <f>IFERROR(VLOOKUP(C1054,'Registre maintenance'!B:F,2,FALSE),"Non trouvé")</f>
        <v>Non trouvé</v>
      </c>
      <c r="H1054" t="str">
        <f>IFERROR(VLOOKUP(C1054,'Registre maintenance'!B:F,3,FALSE),"Non trouvé")</f>
        <v>Non trouvé</v>
      </c>
      <c r="I1054" t="str">
        <f>IFERROR(VLOOKUP(C1054,'Registre maintenance'!B:F,4,FALSE),"Non trouvé")</f>
        <v>Non trouvé</v>
      </c>
      <c r="J1054" t="str">
        <f>IFERROR(VLOOKUP(C1054,'Registre maintenance'!B:F,5,FALSE),"Non trouvé")</f>
        <v>Non trouvé</v>
      </c>
      <c r="K1054" t="str">
        <f t="shared" si="163"/>
        <v>Mismatch</v>
      </c>
    </row>
    <row r="1055" spans="1:11" x14ac:dyDescent="0.3">
      <c r="A1055" t="s">
        <v>1469</v>
      </c>
      <c r="B1055" s="1">
        <v>45221.578472222223</v>
      </c>
      <c r="C1055" t="s">
        <v>997</v>
      </c>
      <c r="D1055">
        <v>76</v>
      </c>
      <c r="E1055" t="s">
        <v>797</v>
      </c>
      <c r="F1055" s="4" t="str">
        <f t="shared" si="167"/>
        <v>Tanganyika</v>
      </c>
      <c r="G1055" s="4" t="str">
        <f>IFERROR(VLOOKUP(C1055,'Registre maintenance'!B:F,2,FALSE),"Non trouvé")</f>
        <v>Non trouvé</v>
      </c>
      <c r="H1055" t="str">
        <f>IFERROR(VLOOKUP(C1055,'Registre maintenance'!B:F,3,FALSE),"Non trouvé")</f>
        <v>Non trouvé</v>
      </c>
      <c r="I1055" t="str">
        <f>IFERROR(VLOOKUP(C1055,'Registre maintenance'!B:F,4,FALSE),"Non trouvé")</f>
        <v>Non trouvé</v>
      </c>
      <c r="J1055" t="str">
        <f>IFERROR(VLOOKUP(C1055,'Registre maintenance'!B:F,5,FALSE),"Non trouvé")</f>
        <v>Non trouvé</v>
      </c>
      <c r="K1055" t="str">
        <f t="shared" si="163"/>
        <v>Mismatch</v>
      </c>
    </row>
    <row r="1056" spans="1:11" x14ac:dyDescent="0.3">
      <c r="A1056" t="s">
        <v>1469</v>
      </c>
      <c r="B1056" s="1">
        <v>45203.273611111108</v>
      </c>
      <c r="C1056" t="s">
        <v>837</v>
      </c>
      <c r="D1056">
        <v>23</v>
      </c>
      <c r="E1056" t="s">
        <v>797</v>
      </c>
      <c r="F1056" s="4" t="str">
        <f t="shared" si="167"/>
        <v>Tanganyika</v>
      </c>
      <c r="G1056" s="4" t="str">
        <f>IFERROR(VLOOKUP(C1056,'Registre maintenance'!B:F,2,FALSE),"Non trouvé")</f>
        <v>Non trouvé</v>
      </c>
      <c r="H1056" t="str">
        <f>IFERROR(VLOOKUP(C1056,'Registre maintenance'!B:F,3,FALSE),"Non trouvé")</f>
        <v>Non trouvé</v>
      </c>
      <c r="I1056" t="str">
        <f>IFERROR(VLOOKUP(C1056,'Registre maintenance'!B:F,4,FALSE),"Non trouvé")</f>
        <v>Non trouvé</v>
      </c>
      <c r="J1056" t="str">
        <f>IFERROR(VLOOKUP(C1056,'Registre maintenance'!B:F,5,FALSE),"Non trouvé")</f>
        <v>Non trouvé</v>
      </c>
      <c r="K1056" t="str">
        <f t="shared" si="163"/>
        <v>Mismatch</v>
      </c>
    </row>
    <row r="1057" spans="1:11" x14ac:dyDescent="0.3">
      <c r="A1057" t="s">
        <v>1469</v>
      </c>
      <c r="B1057" s="1">
        <v>45226.955555555563</v>
      </c>
      <c r="C1057" t="s">
        <v>1471</v>
      </c>
      <c r="D1057">
        <v>20</v>
      </c>
      <c r="E1057" t="s">
        <v>795</v>
      </c>
      <c r="F1057" s="4" t="str">
        <f t="shared" si="167"/>
        <v>Tanganyika</v>
      </c>
      <c r="G1057" s="4" t="str">
        <f>IFERROR(VLOOKUP(C1057,'Registre maintenance'!B:F,2,FALSE),"Non trouvé")</f>
        <v>Non trouvé</v>
      </c>
      <c r="H1057" t="str">
        <f>IFERROR(VLOOKUP(C1057,'Registre maintenance'!B:F,3,FALSE),"Non trouvé")</f>
        <v>Non trouvé</v>
      </c>
      <c r="I1057" t="str">
        <f>IFERROR(VLOOKUP(C1057,'Registre maintenance'!B:F,4,FALSE),"Non trouvé")</f>
        <v>Non trouvé</v>
      </c>
      <c r="J1057" t="str">
        <f>IFERROR(VLOOKUP(C1057,'Registre maintenance'!B:F,5,FALSE),"Non trouvé")</f>
        <v>Non trouvé</v>
      </c>
      <c r="K1057" t="str">
        <f t="shared" si="163"/>
        <v>Mismatch</v>
      </c>
    </row>
    <row r="1058" spans="1:11" x14ac:dyDescent="0.3">
      <c r="A1058" t="s">
        <v>1469</v>
      </c>
      <c r="B1058" s="1">
        <v>45223.570138888892</v>
      </c>
      <c r="C1058" t="s">
        <v>977</v>
      </c>
      <c r="D1058">
        <v>10</v>
      </c>
      <c r="E1058" t="s">
        <v>795</v>
      </c>
      <c r="F1058" s="4" t="str">
        <f t="shared" si="167"/>
        <v>Tanganyika</v>
      </c>
      <c r="G1058" s="4" t="str">
        <f>IFERROR(VLOOKUP(C1058,'Registre maintenance'!B:F,2,FALSE),"Non trouvé")</f>
        <v>Non trouvé</v>
      </c>
      <c r="H1058" t="str">
        <f>IFERROR(VLOOKUP(C1058,'Registre maintenance'!B:F,3,FALSE),"Non trouvé")</f>
        <v>Non trouvé</v>
      </c>
      <c r="I1058" t="str">
        <f>IFERROR(VLOOKUP(C1058,'Registre maintenance'!B:F,4,FALSE),"Non trouvé")</f>
        <v>Non trouvé</v>
      </c>
      <c r="J1058" t="str">
        <f>IFERROR(VLOOKUP(C1058,'Registre maintenance'!B:F,5,FALSE),"Non trouvé")</f>
        <v>Non trouvé</v>
      </c>
      <c r="K1058" t="str">
        <f t="shared" si="163"/>
        <v>Mismatch</v>
      </c>
    </row>
    <row r="1059" spans="1:11" x14ac:dyDescent="0.3">
      <c r="A1059" t="s">
        <v>1469</v>
      </c>
      <c r="B1059" s="1">
        <v>45226.115972222222</v>
      </c>
      <c r="C1059" t="s">
        <v>1115</v>
      </c>
      <c r="D1059">
        <v>5</v>
      </c>
      <c r="E1059" t="s">
        <v>797</v>
      </c>
      <c r="F1059" s="4" t="s">
        <v>56</v>
      </c>
      <c r="G1059" s="4" t="str">
        <f>IFERROR(VLOOKUP(C1059,'Registre maintenance'!B:F,2,FALSE),"Non trouvé")</f>
        <v>Kasai-Oriental</v>
      </c>
      <c r="H1059">
        <f>IFERROR(VLOOKUP(C1059,'Registre maintenance'!B:F,3,FALSE),"Non trouvé")</f>
        <v>2.486888</v>
      </c>
      <c r="I1059">
        <f>IFERROR(VLOOKUP(C1059,'Registre maintenance'!B:F,4,FALSE),"Non trouvé")</f>
        <v>23.798074</v>
      </c>
      <c r="J1059" t="str">
        <f>IFERROR(VLOOKUP(C1059,'Registre maintenance'!B:F,5,FALSE),"Non trouvé")</f>
        <v>5G</v>
      </c>
      <c r="K1059" t="str">
        <f t="shared" si="163"/>
        <v>OK</v>
      </c>
    </row>
    <row r="1060" spans="1:11" x14ac:dyDescent="0.3">
      <c r="A1060" t="s">
        <v>1469</v>
      </c>
      <c r="B1060" s="1">
        <v>45221.167361111111</v>
      </c>
      <c r="C1060" t="s">
        <v>907</v>
      </c>
      <c r="D1060">
        <v>78</v>
      </c>
      <c r="E1060" t="s">
        <v>795</v>
      </c>
      <c r="F1060" s="4" t="str">
        <f t="shared" ref="F1060:F1061" si="168">F1059</f>
        <v>Kasai-Oriental</v>
      </c>
      <c r="G1060" s="4" t="str">
        <f>IFERROR(VLOOKUP(C1060,'Registre maintenance'!B:F,2,FALSE),"Non trouvé")</f>
        <v>Non trouvé</v>
      </c>
      <c r="H1060" t="str">
        <f>IFERROR(VLOOKUP(C1060,'Registre maintenance'!B:F,3,FALSE),"Non trouvé")</f>
        <v>Non trouvé</v>
      </c>
      <c r="I1060" t="str">
        <f>IFERROR(VLOOKUP(C1060,'Registre maintenance'!B:F,4,FALSE),"Non trouvé")</f>
        <v>Non trouvé</v>
      </c>
      <c r="J1060" t="str">
        <f>IFERROR(VLOOKUP(C1060,'Registre maintenance'!B:F,5,FALSE),"Non trouvé")</f>
        <v>Non trouvé</v>
      </c>
      <c r="K1060" t="str">
        <f t="shared" si="163"/>
        <v>Mismatch</v>
      </c>
    </row>
    <row r="1061" spans="1:11" x14ac:dyDescent="0.3">
      <c r="A1061" t="s">
        <v>1469</v>
      </c>
      <c r="B1061" s="1">
        <v>45214.931250000001</v>
      </c>
      <c r="C1061" t="s">
        <v>1261</v>
      </c>
      <c r="D1061">
        <v>81</v>
      </c>
      <c r="E1061" t="s">
        <v>795</v>
      </c>
      <c r="F1061" s="4" t="str">
        <f t="shared" si="168"/>
        <v>Kasai-Oriental</v>
      </c>
      <c r="G1061" s="4" t="str">
        <f>IFERROR(VLOOKUP(C1061,'Registre maintenance'!B:F,2,FALSE),"Non trouvé")</f>
        <v>Non trouvé</v>
      </c>
      <c r="H1061" t="str">
        <f>IFERROR(VLOOKUP(C1061,'Registre maintenance'!B:F,3,FALSE),"Non trouvé")</f>
        <v>Non trouvé</v>
      </c>
      <c r="I1061" t="str">
        <f>IFERROR(VLOOKUP(C1061,'Registre maintenance'!B:F,4,FALSE),"Non trouvé")</f>
        <v>Non trouvé</v>
      </c>
      <c r="J1061" t="str">
        <f>IFERROR(VLOOKUP(C1061,'Registre maintenance'!B:F,5,FALSE),"Non trouvé")</f>
        <v>Non trouvé</v>
      </c>
      <c r="K1061" t="str">
        <f t="shared" si="163"/>
        <v>Mismatch</v>
      </c>
    </row>
    <row r="1062" spans="1:11" x14ac:dyDescent="0.3">
      <c r="A1062" t="s">
        <v>1469</v>
      </c>
      <c r="B1062" s="1">
        <v>45201.086111111108</v>
      </c>
      <c r="C1062" t="s">
        <v>987</v>
      </c>
      <c r="D1062">
        <v>55</v>
      </c>
      <c r="E1062" t="s">
        <v>792</v>
      </c>
      <c r="F1062" s="4" t="s">
        <v>129</v>
      </c>
      <c r="G1062" s="4" t="str">
        <f>IFERROR(VLOOKUP(C1062,'Registre maintenance'!B:F,2,FALSE),"Non trouvé")</f>
        <v>Nord-Kivu</v>
      </c>
      <c r="H1062">
        <f>IFERROR(VLOOKUP(C1062,'Registre maintenance'!B:F,3,FALSE),"Non trouvé")</f>
        <v>-1.8555980000000001</v>
      </c>
      <c r="I1062">
        <f>IFERROR(VLOOKUP(C1062,'Registre maintenance'!B:F,4,FALSE),"Non trouvé")</f>
        <v>30.421918000000002</v>
      </c>
      <c r="J1062" t="str">
        <f>IFERROR(VLOOKUP(C1062,'Registre maintenance'!B:F,5,FALSE),"Non trouvé")</f>
        <v>3G</v>
      </c>
      <c r="K1062" t="str">
        <f t="shared" si="163"/>
        <v>OK</v>
      </c>
    </row>
    <row r="1063" spans="1:11" x14ac:dyDescent="0.3">
      <c r="A1063" t="s">
        <v>1469</v>
      </c>
      <c r="B1063" s="1">
        <v>45201.243055555547</v>
      </c>
      <c r="C1063" t="s">
        <v>1094</v>
      </c>
      <c r="D1063">
        <v>73</v>
      </c>
      <c r="E1063" t="s">
        <v>795</v>
      </c>
      <c r="F1063" s="4" t="str">
        <f t="shared" ref="F1063:F1064" si="169">F1062</f>
        <v>Nord-Kivu</v>
      </c>
      <c r="G1063" s="4" t="str">
        <f>IFERROR(VLOOKUP(C1063,'Registre maintenance'!B:F,2,FALSE),"Non trouvé")</f>
        <v>Non trouvé</v>
      </c>
      <c r="H1063" t="str">
        <f>IFERROR(VLOOKUP(C1063,'Registre maintenance'!B:F,3,FALSE),"Non trouvé")</f>
        <v>Non trouvé</v>
      </c>
      <c r="I1063" t="str">
        <f>IFERROR(VLOOKUP(C1063,'Registre maintenance'!B:F,4,FALSE),"Non trouvé")</f>
        <v>Non trouvé</v>
      </c>
      <c r="J1063" t="str">
        <f>IFERROR(VLOOKUP(C1063,'Registre maintenance'!B:F,5,FALSE),"Non trouvé")</f>
        <v>Non trouvé</v>
      </c>
      <c r="K1063" t="str">
        <f t="shared" si="163"/>
        <v>Mismatch</v>
      </c>
    </row>
    <row r="1064" spans="1:11" x14ac:dyDescent="0.3">
      <c r="A1064" t="s">
        <v>1469</v>
      </c>
      <c r="B1064" s="1">
        <v>45208.711111111108</v>
      </c>
      <c r="C1064" t="s">
        <v>1146</v>
      </c>
      <c r="D1064">
        <v>75</v>
      </c>
      <c r="E1064" t="s">
        <v>795</v>
      </c>
      <c r="F1064" s="4" t="str">
        <f t="shared" si="169"/>
        <v>Nord-Kivu</v>
      </c>
      <c r="G1064" s="4" t="str">
        <f>IFERROR(VLOOKUP(C1064,'Registre maintenance'!B:F,2,FALSE),"Non trouvé")</f>
        <v>Non trouvé</v>
      </c>
      <c r="H1064" t="str">
        <f>IFERROR(VLOOKUP(C1064,'Registre maintenance'!B:F,3,FALSE),"Non trouvé")</f>
        <v>Non trouvé</v>
      </c>
      <c r="I1064" t="str">
        <f>IFERROR(VLOOKUP(C1064,'Registre maintenance'!B:F,4,FALSE),"Non trouvé")</f>
        <v>Non trouvé</v>
      </c>
      <c r="J1064" t="str">
        <f>IFERROR(VLOOKUP(C1064,'Registre maintenance'!B:F,5,FALSE),"Non trouvé")</f>
        <v>Non trouvé</v>
      </c>
      <c r="K1064" t="str">
        <f t="shared" si="163"/>
        <v>Mismatch</v>
      </c>
    </row>
    <row r="1065" spans="1:11" x14ac:dyDescent="0.3">
      <c r="A1065" t="s">
        <v>1469</v>
      </c>
      <c r="B1065" s="1">
        <v>45218.331944444442</v>
      </c>
      <c r="C1065" t="s">
        <v>987</v>
      </c>
      <c r="D1065">
        <v>15</v>
      </c>
      <c r="E1065" t="s">
        <v>797</v>
      </c>
      <c r="F1065" s="4" t="s">
        <v>129</v>
      </c>
      <c r="G1065" s="4" t="str">
        <f>IFERROR(VLOOKUP(C1065,'Registre maintenance'!B:F,2,FALSE),"Non trouvé")</f>
        <v>Nord-Kivu</v>
      </c>
      <c r="H1065">
        <f>IFERROR(VLOOKUP(C1065,'Registre maintenance'!B:F,3,FALSE),"Non trouvé")</f>
        <v>-1.8555980000000001</v>
      </c>
      <c r="I1065">
        <f>IFERROR(VLOOKUP(C1065,'Registre maintenance'!B:F,4,FALSE),"Non trouvé")</f>
        <v>30.421918000000002</v>
      </c>
      <c r="J1065" t="str">
        <f>IFERROR(VLOOKUP(C1065,'Registre maintenance'!B:F,5,FALSE),"Non trouvé")</f>
        <v>3G</v>
      </c>
      <c r="K1065" t="str">
        <f t="shared" si="163"/>
        <v>OK</v>
      </c>
    </row>
    <row r="1066" spans="1:11" x14ac:dyDescent="0.3">
      <c r="A1066" t="s">
        <v>1469</v>
      </c>
      <c r="B1066" s="1">
        <v>45208.558333333327</v>
      </c>
      <c r="C1066" t="s">
        <v>1462</v>
      </c>
      <c r="D1066">
        <v>44</v>
      </c>
      <c r="E1066" t="s">
        <v>797</v>
      </c>
      <c r="F1066" s="4" t="str">
        <f>F1065</f>
        <v>Nord-Kivu</v>
      </c>
      <c r="G1066" s="4" t="str">
        <f>IFERROR(VLOOKUP(C1066,'Registre maintenance'!B:F,2,FALSE),"Non trouvé")</f>
        <v>Non trouvé</v>
      </c>
      <c r="H1066" t="str">
        <f>IFERROR(VLOOKUP(C1066,'Registre maintenance'!B:F,3,FALSE),"Non trouvé")</f>
        <v>Non trouvé</v>
      </c>
      <c r="I1066" t="str">
        <f>IFERROR(VLOOKUP(C1066,'Registre maintenance'!B:F,4,FALSE),"Non trouvé")</f>
        <v>Non trouvé</v>
      </c>
      <c r="J1066" t="str">
        <f>IFERROR(VLOOKUP(C1066,'Registre maintenance'!B:F,5,FALSE),"Non trouvé")</f>
        <v>Non trouvé</v>
      </c>
      <c r="K1066" t="str">
        <f t="shared" si="163"/>
        <v>Mismatch</v>
      </c>
    </row>
    <row r="1067" spans="1:11" x14ac:dyDescent="0.3">
      <c r="A1067" t="s">
        <v>1469</v>
      </c>
      <c r="B1067" s="1">
        <v>45214.850694444453</v>
      </c>
      <c r="C1067" t="s">
        <v>1151</v>
      </c>
      <c r="D1067">
        <v>31</v>
      </c>
      <c r="E1067" t="s">
        <v>797</v>
      </c>
      <c r="F1067" s="4" t="s">
        <v>56</v>
      </c>
      <c r="G1067" s="4" t="str">
        <f>IFERROR(VLOOKUP(C1067,'Registre maintenance'!B:F,2,FALSE),"Non trouvé")</f>
        <v>Kasai-Oriental</v>
      </c>
      <c r="H1067">
        <f>IFERROR(VLOOKUP(C1067,'Registre maintenance'!B:F,3,FALSE),"Non trouvé")</f>
        <v>-5.4073029999999997</v>
      </c>
      <c r="I1067">
        <f>IFERROR(VLOOKUP(C1067,'Registre maintenance'!B:F,4,FALSE),"Non trouvé")</f>
        <v>29.762294000000001</v>
      </c>
      <c r="J1067" t="str">
        <f>IFERROR(VLOOKUP(C1067,'Registre maintenance'!B:F,5,FALSE),"Non trouvé")</f>
        <v>3G</v>
      </c>
      <c r="K1067" t="str">
        <f t="shared" si="163"/>
        <v>OK</v>
      </c>
    </row>
    <row r="1068" spans="1:11" x14ac:dyDescent="0.3">
      <c r="A1068" t="s">
        <v>1469</v>
      </c>
      <c r="B1068" s="1">
        <v>45213.417361111111</v>
      </c>
      <c r="C1068" t="s">
        <v>1131</v>
      </c>
      <c r="D1068">
        <v>100</v>
      </c>
      <c r="E1068" t="s">
        <v>792</v>
      </c>
      <c r="F1068" s="4" t="str">
        <f t="shared" ref="F1068:F1070" si="170">F1067</f>
        <v>Kasai-Oriental</v>
      </c>
      <c r="G1068" s="4" t="str">
        <f>IFERROR(VLOOKUP(C1068,'Registre maintenance'!B:F,2,FALSE),"Non trouvé")</f>
        <v>Non trouvé</v>
      </c>
      <c r="H1068" t="str">
        <f>IFERROR(VLOOKUP(C1068,'Registre maintenance'!B:F,3,FALSE),"Non trouvé")</f>
        <v>Non trouvé</v>
      </c>
      <c r="I1068" t="str">
        <f>IFERROR(VLOOKUP(C1068,'Registre maintenance'!B:F,4,FALSE),"Non trouvé")</f>
        <v>Non trouvé</v>
      </c>
      <c r="J1068" t="str">
        <f>IFERROR(VLOOKUP(C1068,'Registre maintenance'!B:F,5,FALSE),"Non trouvé")</f>
        <v>Non trouvé</v>
      </c>
      <c r="K1068" t="str">
        <f t="shared" si="163"/>
        <v>Mismatch</v>
      </c>
    </row>
    <row r="1069" spans="1:11" x14ac:dyDescent="0.3">
      <c r="A1069" t="s">
        <v>1469</v>
      </c>
      <c r="B1069" s="1">
        <v>45212.879861111112</v>
      </c>
      <c r="C1069" t="s">
        <v>1144</v>
      </c>
      <c r="D1069">
        <v>99</v>
      </c>
      <c r="E1069" t="s">
        <v>792</v>
      </c>
      <c r="F1069" s="4" t="str">
        <f t="shared" si="170"/>
        <v>Kasai-Oriental</v>
      </c>
      <c r="G1069" s="4" t="str">
        <f>IFERROR(VLOOKUP(C1069,'Registre maintenance'!B:F,2,FALSE),"Non trouvé")</f>
        <v>Non trouvé</v>
      </c>
      <c r="H1069" t="str">
        <f>IFERROR(VLOOKUP(C1069,'Registre maintenance'!B:F,3,FALSE),"Non trouvé")</f>
        <v>Non trouvé</v>
      </c>
      <c r="I1069" t="str">
        <f>IFERROR(VLOOKUP(C1069,'Registre maintenance'!B:F,4,FALSE),"Non trouvé")</f>
        <v>Non trouvé</v>
      </c>
      <c r="J1069" t="str">
        <f>IFERROR(VLOOKUP(C1069,'Registre maintenance'!B:F,5,FALSE),"Non trouvé")</f>
        <v>Non trouvé</v>
      </c>
      <c r="K1069" t="str">
        <f t="shared" si="163"/>
        <v>Mismatch</v>
      </c>
    </row>
    <row r="1070" spans="1:11" x14ac:dyDescent="0.3">
      <c r="A1070" t="s">
        <v>1469</v>
      </c>
      <c r="B1070" s="1">
        <v>45217.02847222222</v>
      </c>
      <c r="C1070" t="s">
        <v>1105</v>
      </c>
      <c r="D1070">
        <v>120</v>
      </c>
      <c r="E1070" t="s">
        <v>797</v>
      </c>
      <c r="F1070" s="4" t="str">
        <f t="shared" si="170"/>
        <v>Kasai-Oriental</v>
      </c>
      <c r="G1070" s="4" t="str">
        <f>IFERROR(VLOOKUP(C1070,'Registre maintenance'!B:F,2,FALSE),"Non trouvé")</f>
        <v>Non trouvé</v>
      </c>
      <c r="H1070" t="str">
        <f>IFERROR(VLOOKUP(C1070,'Registre maintenance'!B:F,3,FALSE),"Non trouvé")</f>
        <v>Non trouvé</v>
      </c>
      <c r="I1070" t="str">
        <f>IFERROR(VLOOKUP(C1070,'Registre maintenance'!B:F,4,FALSE),"Non trouvé")</f>
        <v>Non trouvé</v>
      </c>
      <c r="J1070" t="str">
        <f>IFERROR(VLOOKUP(C1070,'Registre maintenance'!B:F,5,FALSE),"Non trouvé")</f>
        <v>Non trouvé</v>
      </c>
      <c r="K1070" t="str">
        <f t="shared" si="163"/>
        <v>Mismatch</v>
      </c>
    </row>
    <row r="1071" spans="1:11" x14ac:dyDescent="0.3">
      <c r="A1071" t="s">
        <v>1469</v>
      </c>
      <c r="B1071" s="1">
        <v>45223.794444444437</v>
      </c>
      <c r="C1071" t="s">
        <v>1472</v>
      </c>
      <c r="D1071">
        <v>97</v>
      </c>
      <c r="E1071" t="s">
        <v>792</v>
      </c>
      <c r="F1071" s="4" t="s">
        <v>125</v>
      </c>
      <c r="G1071" s="4" t="str">
        <f>IFERROR(VLOOKUP(C1071,'Registre maintenance'!B:F,2,FALSE),"Non trouvé")</f>
        <v>Haut-Uele</v>
      </c>
      <c r="H1071">
        <f>IFERROR(VLOOKUP(C1071,'Registre maintenance'!B:F,3,FALSE),"Non trouvé")</f>
        <v>1.0134879999999999</v>
      </c>
      <c r="I1071">
        <f>IFERROR(VLOOKUP(C1071,'Registre maintenance'!B:F,4,FALSE),"Non trouvé")</f>
        <v>20.363515</v>
      </c>
      <c r="J1071" t="str">
        <f>IFERROR(VLOOKUP(C1071,'Registre maintenance'!B:F,5,FALSE),"Non trouvé")</f>
        <v>4G</v>
      </c>
      <c r="K1071" t="str">
        <f t="shared" si="163"/>
        <v>OK</v>
      </c>
    </row>
    <row r="1072" spans="1:11" x14ac:dyDescent="0.3">
      <c r="A1072" t="s">
        <v>1469</v>
      </c>
      <c r="B1072" s="1">
        <v>45224.984027777777</v>
      </c>
      <c r="C1072" t="s">
        <v>1473</v>
      </c>
      <c r="D1072">
        <v>49</v>
      </c>
      <c r="E1072" t="s">
        <v>792</v>
      </c>
      <c r="F1072" s="4" t="str">
        <f t="shared" ref="F1072:F1074" si="171">F1071</f>
        <v>Haut-Uele</v>
      </c>
      <c r="G1072" s="4" t="str">
        <f>IFERROR(VLOOKUP(C1072,'Registre maintenance'!B:F,2,FALSE),"Non trouvé")</f>
        <v>Non trouvé</v>
      </c>
      <c r="H1072" t="str">
        <f>IFERROR(VLOOKUP(C1072,'Registre maintenance'!B:F,3,FALSE),"Non trouvé")</f>
        <v>Non trouvé</v>
      </c>
      <c r="I1072" t="str">
        <f>IFERROR(VLOOKUP(C1072,'Registre maintenance'!B:F,4,FALSE),"Non trouvé")</f>
        <v>Non trouvé</v>
      </c>
      <c r="J1072" t="str">
        <f>IFERROR(VLOOKUP(C1072,'Registre maintenance'!B:F,5,FALSE),"Non trouvé")</f>
        <v>Non trouvé</v>
      </c>
      <c r="K1072" t="str">
        <f t="shared" si="163"/>
        <v>Mismatch</v>
      </c>
    </row>
    <row r="1073" spans="1:11" x14ac:dyDescent="0.3">
      <c r="A1073" t="s">
        <v>1469</v>
      </c>
      <c r="B1073" s="1">
        <v>45201.95416666667</v>
      </c>
      <c r="C1073" t="s">
        <v>1474</v>
      </c>
      <c r="D1073">
        <v>32</v>
      </c>
      <c r="E1073" t="s">
        <v>795</v>
      </c>
      <c r="F1073" s="4" t="str">
        <f t="shared" si="171"/>
        <v>Haut-Uele</v>
      </c>
      <c r="G1073" s="4" t="str">
        <f>IFERROR(VLOOKUP(C1073,'Registre maintenance'!B:F,2,FALSE),"Non trouvé")</f>
        <v>Non trouvé</v>
      </c>
      <c r="H1073" t="str">
        <f>IFERROR(VLOOKUP(C1073,'Registre maintenance'!B:F,3,FALSE),"Non trouvé")</f>
        <v>Non trouvé</v>
      </c>
      <c r="I1073" t="str">
        <f>IFERROR(VLOOKUP(C1073,'Registre maintenance'!B:F,4,FALSE),"Non trouvé")</f>
        <v>Non trouvé</v>
      </c>
      <c r="J1073" t="str">
        <f>IFERROR(VLOOKUP(C1073,'Registre maintenance'!B:F,5,FALSE),"Non trouvé")</f>
        <v>Non trouvé</v>
      </c>
      <c r="K1073" t="str">
        <f t="shared" si="163"/>
        <v>Mismatch</v>
      </c>
    </row>
    <row r="1074" spans="1:11" x14ac:dyDescent="0.3">
      <c r="A1074" t="s">
        <v>1469</v>
      </c>
      <c r="B1074" s="1">
        <v>45202.499305555553</v>
      </c>
      <c r="C1074" t="s">
        <v>1340</v>
      </c>
      <c r="D1074">
        <v>57</v>
      </c>
      <c r="E1074" t="s">
        <v>795</v>
      </c>
      <c r="F1074" s="4" t="str">
        <f t="shared" si="171"/>
        <v>Haut-Uele</v>
      </c>
      <c r="G1074" s="4" t="str">
        <f>IFERROR(VLOOKUP(C1074,'Registre maintenance'!B:F,2,FALSE),"Non trouvé")</f>
        <v>Non trouvé</v>
      </c>
      <c r="H1074" t="str">
        <f>IFERROR(VLOOKUP(C1074,'Registre maintenance'!B:F,3,FALSE),"Non trouvé")</f>
        <v>Non trouvé</v>
      </c>
      <c r="I1074" t="str">
        <f>IFERROR(VLOOKUP(C1074,'Registre maintenance'!B:F,4,FALSE),"Non trouvé")</f>
        <v>Non trouvé</v>
      </c>
      <c r="J1074" t="str">
        <f>IFERROR(VLOOKUP(C1074,'Registre maintenance'!B:F,5,FALSE),"Non trouvé")</f>
        <v>Non trouvé</v>
      </c>
      <c r="K1074" t="str">
        <f t="shared" si="163"/>
        <v>Mismatch</v>
      </c>
    </row>
    <row r="1075" spans="1:11" x14ac:dyDescent="0.3">
      <c r="A1075" t="s">
        <v>1469</v>
      </c>
      <c r="B1075" s="1">
        <v>45216.137499999997</v>
      </c>
      <c r="C1075" t="s">
        <v>1475</v>
      </c>
      <c r="D1075">
        <v>120</v>
      </c>
      <c r="E1075" t="s">
        <v>795</v>
      </c>
      <c r="F1075" s="4" t="s">
        <v>15</v>
      </c>
      <c r="G1075" s="4" t="str">
        <f>IFERROR(VLOOKUP(C1075,'Registre maintenance'!B:F,2,FALSE),"Non trouvé")</f>
        <v>Mongala</v>
      </c>
      <c r="H1075">
        <f>IFERROR(VLOOKUP(C1075,'Registre maintenance'!B:F,3,FALSE),"Non trouvé")</f>
        <v>-7.2267089999999996</v>
      </c>
      <c r="I1075">
        <f>IFERROR(VLOOKUP(C1075,'Registre maintenance'!B:F,4,FALSE),"Non trouvé")</f>
        <v>28.421362999999999</v>
      </c>
      <c r="J1075" t="str">
        <f>IFERROR(VLOOKUP(C1075,'Registre maintenance'!B:F,5,FALSE),"Non trouvé")</f>
        <v>5G</v>
      </c>
      <c r="K1075" t="str">
        <f t="shared" si="163"/>
        <v>OK</v>
      </c>
    </row>
    <row r="1076" spans="1:11" x14ac:dyDescent="0.3">
      <c r="A1076" t="s">
        <v>1469</v>
      </c>
      <c r="B1076" s="1">
        <v>45225.888194444437</v>
      </c>
      <c r="C1076" t="s">
        <v>1476</v>
      </c>
      <c r="D1076">
        <v>87</v>
      </c>
      <c r="E1076" t="s">
        <v>797</v>
      </c>
      <c r="F1076" s="4" t="s">
        <v>17</v>
      </c>
      <c r="G1076" s="4" t="str">
        <f>IFERROR(VLOOKUP(C1076,'Registre maintenance'!B:F,2,FALSE),"Non trouvé")</f>
        <v>Haut-Lomami</v>
      </c>
      <c r="H1076">
        <f>IFERROR(VLOOKUP(C1076,'Registre maintenance'!B:F,3,FALSE),"Non trouvé")</f>
        <v>-5.8145569999999998</v>
      </c>
      <c r="I1076">
        <f>IFERROR(VLOOKUP(C1076,'Registre maintenance'!B:F,4,FALSE),"Non trouvé")</f>
        <v>21.942052</v>
      </c>
      <c r="J1076" t="str">
        <f>IFERROR(VLOOKUP(C1076,'Registre maintenance'!B:F,5,FALSE),"Non trouvé")</f>
        <v>5G</v>
      </c>
      <c r="K1076" t="str">
        <f t="shared" si="163"/>
        <v>OK</v>
      </c>
    </row>
    <row r="1077" spans="1:11" x14ac:dyDescent="0.3">
      <c r="A1077" t="s">
        <v>1469</v>
      </c>
      <c r="B1077" s="1">
        <v>45219.095833333333</v>
      </c>
      <c r="C1077" t="s">
        <v>961</v>
      </c>
      <c r="D1077">
        <v>113</v>
      </c>
      <c r="E1077" t="s">
        <v>797</v>
      </c>
      <c r="F1077" s="4" t="s">
        <v>25</v>
      </c>
      <c r="G1077" s="4" t="str">
        <f>IFERROR(VLOOKUP(C1077,'Registre maintenance'!B:F,2,FALSE),"Non trouvé")</f>
        <v>Bas-Uele</v>
      </c>
      <c r="H1077">
        <f>IFERROR(VLOOKUP(C1077,'Registre maintenance'!B:F,3,FALSE),"Non trouvé")</f>
        <v>-3.6945459999999999</v>
      </c>
      <c r="I1077">
        <f>IFERROR(VLOOKUP(C1077,'Registre maintenance'!B:F,4,FALSE),"Non trouvé")</f>
        <v>16.809108999999999</v>
      </c>
      <c r="J1077" t="str">
        <f>IFERROR(VLOOKUP(C1077,'Registre maintenance'!B:F,5,FALSE),"Non trouvé")</f>
        <v>5G</v>
      </c>
      <c r="K1077" t="str">
        <f t="shared" si="163"/>
        <v>OK</v>
      </c>
    </row>
    <row r="1078" spans="1:11" x14ac:dyDescent="0.3">
      <c r="A1078" t="s">
        <v>1469</v>
      </c>
      <c r="B1078" s="1">
        <v>45224.6</v>
      </c>
      <c r="C1078" t="s">
        <v>1477</v>
      </c>
      <c r="D1078">
        <v>70</v>
      </c>
      <c r="E1078" t="s">
        <v>797</v>
      </c>
      <c r="F1078" s="4" t="str">
        <f t="shared" ref="F1078:F1082" si="172">F1077</f>
        <v>Bas-Uele</v>
      </c>
      <c r="G1078" s="4" t="str">
        <f>IFERROR(VLOOKUP(C1078,'Registre maintenance'!B:F,2,FALSE),"Non trouvé")</f>
        <v>Non trouvé</v>
      </c>
      <c r="H1078" t="str">
        <f>IFERROR(VLOOKUP(C1078,'Registre maintenance'!B:F,3,FALSE),"Non trouvé")</f>
        <v>Non trouvé</v>
      </c>
      <c r="I1078" t="str">
        <f>IFERROR(VLOOKUP(C1078,'Registre maintenance'!B:F,4,FALSE),"Non trouvé")</f>
        <v>Non trouvé</v>
      </c>
      <c r="J1078" t="str">
        <f>IFERROR(VLOOKUP(C1078,'Registre maintenance'!B:F,5,FALSE),"Non trouvé")</f>
        <v>Non trouvé</v>
      </c>
      <c r="K1078" t="str">
        <f t="shared" si="163"/>
        <v>Mismatch</v>
      </c>
    </row>
    <row r="1079" spans="1:11" x14ac:dyDescent="0.3">
      <c r="A1079" t="s">
        <v>1469</v>
      </c>
      <c r="B1079" s="1">
        <v>45212.875694444447</v>
      </c>
      <c r="C1079" t="s">
        <v>1478</v>
      </c>
      <c r="D1079">
        <v>23</v>
      </c>
      <c r="E1079" t="s">
        <v>792</v>
      </c>
      <c r="F1079" s="4" t="str">
        <f t="shared" si="172"/>
        <v>Bas-Uele</v>
      </c>
      <c r="G1079" s="4" t="str">
        <f>IFERROR(VLOOKUP(C1079,'Registre maintenance'!B:F,2,FALSE),"Non trouvé")</f>
        <v>Non trouvé</v>
      </c>
      <c r="H1079" t="str">
        <f>IFERROR(VLOOKUP(C1079,'Registre maintenance'!B:F,3,FALSE),"Non trouvé")</f>
        <v>Non trouvé</v>
      </c>
      <c r="I1079" t="str">
        <f>IFERROR(VLOOKUP(C1079,'Registre maintenance'!B:F,4,FALSE),"Non trouvé")</f>
        <v>Non trouvé</v>
      </c>
      <c r="J1079" t="str">
        <f>IFERROR(VLOOKUP(C1079,'Registre maintenance'!B:F,5,FALSE),"Non trouvé")</f>
        <v>Non trouvé</v>
      </c>
      <c r="K1079" t="str">
        <f t="shared" si="163"/>
        <v>Mismatch</v>
      </c>
    </row>
    <row r="1080" spans="1:11" x14ac:dyDescent="0.3">
      <c r="A1080" t="s">
        <v>1469</v>
      </c>
      <c r="B1080" s="1">
        <v>45215.231944444437</v>
      </c>
      <c r="C1080" t="s">
        <v>1131</v>
      </c>
      <c r="D1080">
        <v>25</v>
      </c>
      <c r="E1080" t="s">
        <v>795</v>
      </c>
      <c r="F1080" s="4" t="str">
        <f t="shared" si="172"/>
        <v>Bas-Uele</v>
      </c>
      <c r="G1080" s="4" t="str">
        <f>IFERROR(VLOOKUP(C1080,'Registre maintenance'!B:F,2,FALSE),"Non trouvé")</f>
        <v>Non trouvé</v>
      </c>
      <c r="H1080" t="str">
        <f>IFERROR(VLOOKUP(C1080,'Registre maintenance'!B:F,3,FALSE),"Non trouvé")</f>
        <v>Non trouvé</v>
      </c>
      <c r="I1080" t="str">
        <f>IFERROR(VLOOKUP(C1080,'Registre maintenance'!B:F,4,FALSE),"Non trouvé")</f>
        <v>Non trouvé</v>
      </c>
      <c r="J1080" t="str">
        <f>IFERROR(VLOOKUP(C1080,'Registre maintenance'!B:F,5,FALSE),"Non trouvé")</f>
        <v>Non trouvé</v>
      </c>
      <c r="K1080" t="str">
        <f t="shared" si="163"/>
        <v>Mismatch</v>
      </c>
    </row>
    <row r="1081" spans="1:11" x14ac:dyDescent="0.3">
      <c r="A1081" t="s">
        <v>1469</v>
      </c>
      <c r="B1081" s="1">
        <v>45207.199305555558</v>
      </c>
      <c r="C1081" t="s">
        <v>1403</v>
      </c>
      <c r="D1081">
        <v>28</v>
      </c>
      <c r="E1081" t="s">
        <v>795</v>
      </c>
      <c r="F1081" s="4" t="str">
        <f t="shared" si="172"/>
        <v>Bas-Uele</v>
      </c>
      <c r="G1081" s="4" t="str">
        <f>IFERROR(VLOOKUP(C1081,'Registre maintenance'!B:F,2,FALSE),"Non trouvé")</f>
        <v>Non trouvé</v>
      </c>
      <c r="H1081" t="str">
        <f>IFERROR(VLOOKUP(C1081,'Registre maintenance'!B:F,3,FALSE),"Non trouvé")</f>
        <v>Non trouvé</v>
      </c>
      <c r="I1081" t="str">
        <f>IFERROR(VLOOKUP(C1081,'Registre maintenance'!B:F,4,FALSE),"Non trouvé")</f>
        <v>Non trouvé</v>
      </c>
      <c r="J1081" t="str">
        <f>IFERROR(VLOOKUP(C1081,'Registre maintenance'!B:F,5,FALSE),"Non trouvé")</f>
        <v>Non trouvé</v>
      </c>
      <c r="K1081" t="str">
        <f t="shared" si="163"/>
        <v>Mismatch</v>
      </c>
    </row>
    <row r="1082" spans="1:11" x14ac:dyDescent="0.3">
      <c r="A1082" t="s">
        <v>1469</v>
      </c>
      <c r="B1082" s="1">
        <v>45212.720833333333</v>
      </c>
      <c r="C1082" t="s">
        <v>1479</v>
      </c>
      <c r="D1082">
        <v>33</v>
      </c>
      <c r="E1082" t="s">
        <v>797</v>
      </c>
      <c r="F1082" s="4" t="str">
        <f t="shared" si="172"/>
        <v>Bas-Uele</v>
      </c>
      <c r="G1082" s="4" t="str">
        <f>IFERROR(VLOOKUP(C1082,'Registre maintenance'!B:F,2,FALSE),"Non trouvé")</f>
        <v>Non trouvé</v>
      </c>
      <c r="H1082" t="str">
        <f>IFERROR(VLOOKUP(C1082,'Registre maintenance'!B:F,3,FALSE),"Non trouvé")</f>
        <v>Non trouvé</v>
      </c>
      <c r="I1082" t="str">
        <f>IFERROR(VLOOKUP(C1082,'Registre maintenance'!B:F,4,FALSE),"Non trouvé")</f>
        <v>Non trouvé</v>
      </c>
      <c r="J1082" t="str">
        <f>IFERROR(VLOOKUP(C1082,'Registre maintenance'!B:F,5,FALSE),"Non trouvé")</f>
        <v>Non trouvé</v>
      </c>
      <c r="K1082" t="str">
        <f t="shared" si="163"/>
        <v>Mismatch</v>
      </c>
    </row>
    <row r="1083" spans="1:11" x14ac:dyDescent="0.3">
      <c r="A1083" t="s">
        <v>1469</v>
      </c>
      <c r="B1083" s="1">
        <v>45230.839583333327</v>
      </c>
      <c r="C1083" t="s">
        <v>1182</v>
      </c>
      <c r="D1083">
        <v>83</v>
      </c>
      <c r="E1083" t="s">
        <v>797</v>
      </c>
      <c r="F1083" s="4" t="s">
        <v>59</v>
      </c>
      <c r="G1083" s="4" t="str">
        <f>IFERROR(VLOOKUP(C1083,'Registre maintenance'!B:F,2,FALSE),"Non trouvé")</f>
        <v>Equateur</v>
      </c>
      <c r="H1083">
        <f>IFERROR(VLOOKUP(C1083,'Registre maintenance'!B:F,3,FALSE),"Non trouvé")</f>
        <v>-0.79459900000000006</v>
      </c>
      <c r="I1083">
        <f>IFERROR(VLOOKUP(C1083,'Registre maintenance'!B:F,4,FALSE),"Non trouvé")</f>
        <v>26.775570999999999</v>
      </c>
      <c r="J1083" t="str">
        <f>IFERROR(VLOOKUP(C1083,'Registre maintenance'!B:F,5,FALSE),"Non trouvé")</f>
        <v>5G</v>
      </c>
      <c r="K1083" t="str">
        <f t="shared" si="163"/>
        <v>OK</v>
      </c>
    </row>
    <row r="1084" spans="1:11" x14ac:dyDescent="0.3">
      <c r="A1084" t="s">
        <v>1469</v>
      </c>
      <c r="B1084" s="1">
        <v>45209.913888888892</v>
      </c>
      <c r="C1084" t="s">
        <v>1117</v>
      </c>
      <c r="D1084">
        <v>111</v>
      </c>
      <c r="E1084" t="s">
        <v>797</v>
      </c>
      <c r="F1084" s="4" t="s">
        <v>25</v>
      </c>
      <c r="G1084" s="4" t="str">
        <f>IFERROR(VLOOKUP(C1084,'Registre maintenance'!B:F,2,FALSE),"Non trouvé")</f>
        <v>Bas-Uele</v>
      </c>
      <c r="H1084">
        <f>IFERROR(VLOOKUP(C1084,'Registre maintenance'!B:F,3,FALSE),"Non trouvé")</f>
        <v>-6.4197189999999997</v>
      </c>
      <c r="I1084">
        <f>IFERROR(VLOOKUP(C1084,'Registre maintenance'!B:F,4,FALSE),"Non trouvé")</f>
        <v>22.287264</v>
      </c>
      <c r="J1084" t="str">
        <f>IFERROR(VLOOKUP(C1084,'Registre maintenance'!B:F,5,FALSE),"Non trouvé")</f>
        <v>3G</v>
      </c>
      <c r="K1084" t="str">
        <f t="shared" si="163"/>
        <v>OK</v>
      </c>
    </row>
    <row r="1085" spans="1:11" x14ac:dyDescent="0.3">
      <c r="A1085" t="s">
        <v>1469</v>
      </c>
      <c r="B1085" s="1">
        <v>45229.986805555563</v>
      </c>
      <c r="C1085" t="s">
        <v>1242</v>
      </c>
      <c r="D1085">
        <v>37</v>
      </c>
      <c r="E1085" t="s">
        <v>797</v>
      </c>
      <c r="F1085" s="4" t="str">
        <f>F1084</f>
        <v>Bas-Uele</v>
      </c>
      <c r="G1085" s="4" t="str">
        <f>IFERROR(VLOOKUP(C1085,'Registre maintenance'!B:F,2,FALSE),"Non trouvé")</f>
        <v>Non trouvé</v>
      </c>
      <c r="H1085" t="str">
        <f>IFERROR(VLOOKUP(C1085,'Registre maintenance'!B:F,3,FALSE),"Non trouvé")</f>
        <v>Non trouvé</v>
      </c>
      <c r="I1085" t="str">
        <f>IFERROR(VLOOKUP(C1085,'Registre maintenance'!B:F,4,FALSE),"Non trouvé")</f>
        <v>Non trouvé</v>
      </c>
      <c r="J1085" t="str">
        <f>IFERROR(VLOOKUP(C1085,'Registre maintenance'!B:F,5,FALSE),"Non trouvé")</f>
        <v>Non trouvé</v>
      </c>
      <c r="K1085" t="str">
        <f t="shared" si="163"/>
        <v>Mismatch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2FDD-FB4B-43A5-80D7-BE6E7C10703A}">
  <dimension ref="A1:G401"/>
  <sheetViews>
    <sheetView tabSelected="1" workbookViewId="0">
      <selection activeCell="F1" activeCellId="2" sqref="A1 B1:B1048576 F1:F1048576"/>
    </sheetView>
  </sheetViews>
  <sheetFormatPr baseColWidth="10" defaultRowHeight="14.4" x14ac:dyDescent="0.3"/>
  <cols>
    <col min="1" max="1" width="30.44140625" bestFit="1" customWidth="1"/>
    <col min="2" max="2" width="13.21875" bestFit="1" customWidth="1"/>
    <col min="3" max="3" width="15" bestFit="1" customWidth="1"/>
    <col min="4" max="4" width="10.6640625" bestFit="1" customWidth="1"/>
    <col min="5" max="5" width="11.6640625" bestFit="1" customWidth="1"/>
    <col min="6" max="6" width="13.44140625" bestFit="1" customWidth="1"/>
    <col min="7" max="7" width="15.5546875" bestFit="1" customWidth="1"/>
  </cols>
  <sheetData>
    <row r="1" spans="1:7" x14ac:dyDescent="0.3">
      <c r="A1" t="s">
        <v>0</v>
      </c>
      <c r="B1" t="s">
        <v>1480</v>
      </c>
      <c r="C1" t="s">
        <v>1481</v>
      </c>
      <c r="D1" t="s">
        <v>1482</v>
      </c>
      <c r="E1" t="s">
        <v>1483</v>
      </c>
      <c r="F1" t="s">
        <v>1484</v>
      </c>
      <c r="G1" t="s">
        <v>1485</v>
      </c>
    </row>
    <row r="2" spans="1:7" x14ac:dyDescent="0.3">
      <c r="A2" t="s">
        <v>1486</v>
      </c>
      <c r="B2" t="s">
        <v>1309</v>
      </c>
      <c r="C2" t="s">
        <v>125</v>
      </c>
      <c r="D2">
        <v>-3.003879</v>
      </c>
      <c r="E2">
        <v>23.633893</v>
      </c>
      <c r="F2" t="s">
        <v>1487</v>
      </c>
      <c r="G2" t="s">
        <v>1488</v>
      </c>
    </row>
    <row r="3" spans="1:7" x14ac:dyDescent="0.3">
      <c r="A3" t="s">
        <v>1486</v>
      </c>
      <c r="B3" t="s">
        <v>1489</v>
      </c>
      <c r="C3" t="s">
        <v>50</v>
      </c>
      <c r="D3">
        <v>2.413557</v>
      </c>
      <c r="E3">
        <v>19.690681999999999</v>
      </c>
      <c r="F3" t="s">
        <v>1490</v>
      </c>
      <c r="G3" t="s">
        <v>1491</v>
      </c>
    </row>
    <row r="4" spans="1:7" x14ac:dyDescent="0.3">
      <c r="A4" t="s">
        <v>1486</v>
      </c>
      <c r="B4" t="s">
        <v>811</v>
      </c>
      <c r="C4" t="s">
        <v>36</v>
      </c>
      <c r="D4">
        <v>-9.4708620000000003</v>
      </c>
      <c r="E4">
        <v>29.234387999999999</v>
      </c>
      <c r="F4" t="s">
        <v>1492</v>
      </c>
      <c r="G4" t="s">
        <v>1493</v>
      </c>
    </row>
    <row r="5" spans="1:7" x14ac:dyDescent="0.3">
      <c r="A5" t="s">
        <v>1486</v>
      </c>
      <c r="B5" t="s">
        <v>1258</v>
      </c>
      <c r="C5" t="s">
        <v>72</v>
      </c>
      <c r="D5">
        <v>1.400674</v>
      </c>
      <c r="E5">
        <v>13.503126999999999</v>
      </c>
      <c r="F5" t="s">
        <v>1487</v>
      </c>
      <c r="G5" t="s">
        <v>1493</v>
      </c>
    </row>
    <row r="6" spans="1:7" x14ac:dyDescent="0.3">
      <c r="A6" t="s">
        <v>1486</v>
      </c>
      <c r="B6" t="s">
        <v>1494</v>
      </c>
      <c r="C6" t="s">
        <v>125</v>
      </c>
      <c r="D6">
        <v>0.29375600000000002</v>
      </c>
      <c r="E6">
        <v>18.528884000000001</v>
      </c>
      <c r="F6" t="s">
        <v>1487</v>
      </c>
      <c r="G6" t="s">
        <v>1493</v>
      </c>
    </row>
    <row r="7" spans="1:7" x14ac:dyDescent="0.3">
      <c r="A7" t="s">
        <v>1486</v>
      </c>
      <c r="B7" t="s">
        <v>1495</v>
      </c>
      <c r="C7" t="s">
        <v>77</v>
      </c>
      <c r="D7">
        <v>-4.4862339999999996</v>
      </c>
      <c r="E7">
        <v>17.956159</v>
      </c>
      <c r="F7" t="s">
        <v>1492</v>
      </c>
      <c r="G7" t="s">
        <v>1491</v>
      </c>
    </row>
    <row r="8" spans="1:7" x14ac:dyDescent="0.3">
      <c r="A8" t="s">
        <v>1486</v>
      </c>
      <c r="B8" t="s">
        <v>1496</v>
      </c>
      <c r="C8" t="s">
        <v>36</v>
      </c>
      <c r="D8">
        <v>-12.824638999999999</v>
      </c>
      <c r="E8">
        <v>24.407249</v>
      </c>
      <c r="F8" t="s">
        <v>1487</v>
      </c>
      <c r="G8" t="s">
        <v>1491</v>
      </c>
    </row>
    <row r="9" spans="1:7" x14ac:dyDescent="0.3">
      <c r="A9" t="s">
        <v>1486</v>
      </c>
      <c r="B9" t="s">
        <v>889</v>
      </c>
      <c r="C9" t="s">
        <v>63</v>
      </c>
      <c r="D9">
        <v>-5.4126279999999998</v>
      </c>
      <c r="E9">
        <v>25.498235999999999</v>
      </c>
      <c r="F9" t="s">
        <v>1487</v>
      </c>
      <c r="G9" t="s">
        <v>1493</v>
      </c>
    </row>
    <row r="10" spans="1:7" x14ac:dyDescent="0.3">
      <c r="A10" t="s">
        <v>1486</v>
      </c>
      <c r="B10" t="s">
        <v>1497</v>
      </c>
      <c r="C10" t="s">
        <v>63</v>
      </c>
      <c r="D10">
        <v>-10.579510000000001</v>
      </c>
      <c r="E10">
        <v>23.502313999999998</v>
      </c>
      <c r="F10" t="s">
        <v>1490</v>
      </c>
      <c r="G10" t="s">
        <v>1493</v>
      </c>
    </row>
    <row r="11" spans="1:7" x14ac:dyDescent="0.3">
      <c r="A11" t="s">
        <v>1486</v>
      </c>
      <c r="B11" t="s">
        <v>1498</v>
      </c>
      <c r="C11" t="s">
        <v>12</v>
      </c>
      <c r="D11">
        <v>3.0788669999999998</v>
      </c>
      <c r="E11">
        <v>19.513650999999999</v>
      </c>
      <c r="F11" t="s">
        <v>1487</v>
      </c>
      <c r="G11" t="s">
        <v>1491</v>
      </c>
    </row>
    <row r="12" spans="1:7" x14ac:dyDescent="0.3">
      <c r="A12" t="s">
        <v>1486</v>
      </c>
      <c r="B12" t="s">
        <v>800</v>
      </c>
      <c r="C12" t="s">
        <v>32</v>
      </c>
      <c r="D12">
        <v>-1.648264</v>
      </c>
      <c r="E12">
        <v>28.866143999999998</v>
      </c>
      <c r="F12" t="s">
        <v>1487</v>
      </c>
      <c r="G12" t="s">
        <v>1488</v>
      </c>
    </row>
    <row r="13" spans="1:7" x14ac:dyDescent="0.3">
      <c r="A13" t="s">
        <v>1486</v>
      </c>
      <c r="B13" t="s">
        <v>1499</v>
      </c>
      <c r="C13" t="s">
        <v>129</v>
      </c>
      <c r="D13">
        <v>-3.3883130000000001</v>
      </c>
      <c r="E13">
        <v>26.838507</v>
      </c>
      <c r="F13" t="s">
        <v>1487</v>
      </c>
      <c r="G13" t="s">
        <v>1500</v>
      </c>
    </row>
    <row r="14" spans="1:7" x14ac:dyDescent="0.3">
      <c r="A14" t="s">
        <v>1486</v>
      </c>
      <c r="B14" t="s">
        <v>1501</v>
      </c>
      <c r="C14" t="s">
        <v>87</v>
      </c>
      <c r="D14">
        <v>-7.31691</v>
      </c>
      <c r="E14">
        <v>29.836627</v>
      </c>
      <c r="F14" t="s">
        <v>1487</v>
      </c>
      <c r="G14" t="s">
        <v>1493</v>
      </c>
    </row>
    <row r="15" spans="1:7" x14ac:dyDescent="0.3">
      <c r="A15" t="s">
        <v>1486</v>
      </c>
      <c r="B15" t="s">
        <v>914</v>
      </c>
      <c r="C15" t="s">
        <v>50</v>
      </c>
      <c r="D15">
        <v>-4.2408359999999998</v>
      </c>
      <c r="E15">
        <v>26.210014000000001</v>
      </c>
      <c r="F15" t="s">
        <v>1490</v>
      </c>
      <c r="G15" t="s">
        <v>1491</v>
      </c>
    </row>
    <row r="16" spans="1:7" x14ac:dyDescent="0.3">
      <c r="A16" t="s">
        <v>1486</v>
      </c>
      <c r="B16" t="s">
        <v>1082</v>
      </c>
      <c r="C16" t="s">
        <v>77</v>
      </c>
      <c r="D16">
        <v>-8.4824669999999998</v>
      </c>
      <c r="E16">
        <v>21.897777999999999</v>
      </c>
      <c r="F16" t="s">
        <v>1487</v>
      </c>
      <c r="G16" t="s">
        <v>1488</v>
      </c>
    </row>
    <row r="17" spans="1:7" x14ac:dyDescent="0.3">
      <c r="A17" t="s">
        <v>1486</v>
      </c>
      <c r="B17" t="s">
        <v>1268</v>
      </c>
      <c r="C17" t="s">
        <v>20</v>
      </c>
      <c r="D17">
        <v>2.453036</v>
      </c>
      <c r="E17">
        <v>20.555484</v>
      </c>
      <c r="F17" t="s">
        <v>1487</v>
      </c>
      <c r="G17" t="s">
        <v>1488</v>
      </c>
    </row>
    <row r="18" spans="1:7" x14ac:dyDescent="0.3">
      <c r="A18" t="s">
        <v>1486</v>
      </c>
      <c r="B18" t="s">
        <v>866</v>
      </c>
      <c r="C18" t="s">
        <v>30</v>
      </c>
      <c r="D18">
        <v>-12.141233</v>
      </c>
      <c r="E18">
        <v>15.179043999999999</v>
      </c>
      <c r="F18" t="s">
        <v>1487</v>
      </c>
      <c r="G18" t="s">
        <v>1488</v>
      </c>
    </row>
    <row r="19" spans="1:7" x14ac:dyDescent="0.3">
      <c r="A19" t="s">
        <v>1486</v>
      </c>
      <c r="B19" t="s">
        <v>893</v>
      </c>
      <c r="C19" t="s">
        <v>66</v>
      </c>
      <c r="D19">
        <v>-11.218453999999999</v>
      </c>
      <c r="E19">
        <v>28.230025000000001</v>
      </c>
      <c r="F19" t="s">
        <v>1487</v>
      </c>
      <c r="G19" t="s">
        <v>1493</v>
      </c>
    </row>
    <row r="20" spans="1:7" x14ac:dyDescent="0.3">
      <c r="A20" t="s">
        <v>1486</v>
      </c>
      <c r="B20" t="s">
        <v>827</v>
      </c>
      <c r="C20" t="s">
        <v>28</v>
      </c>
      <c r="D20">
        <v>-10.059846</v>
      </c>
      <c r="E20">
        <v>14.375757999999999</v>
      </c>
      <c r="F20" t="s">
        <v>1490</v>
      </c>
      <c r="G20" t="s">
        <v>1491</v>
      </c>
    </row>
    <row r="21" spans="1:7" x14ac:dyDescent="0.3">
      <c r="A21" t="s">
        <v>1486</v>
      </c>
      <c r="B21" t="s">
        <v>1141</v>
      </c>
      <c r="C21" t="s">
        <v>59</v>
      </c>
      <c r="D21">
        <v>-9.1215879999999991</v>
      </c>
      <c r="E21">
        <v>16.457916999999998</v>
      </c>
      <c r="F21" t="s">
        <v>1490</v>
      </c>
      <c r="G21" t="s">
        <v>1500</v>
      </c>
    </row>
    <row r="22" spans="1:7" x14ac:dyDescent="0.3">
      <c r="A22" t="s">
        <v>1486</v>
      </c>
      <c r="B22" t="s">
        <v>805</v>
      </c>
      <c r="C22" t="s">
        <v>66</v>
      </c>
      <c r="D22">
        <v>-8.4227860000000003</v>
      </c>
      <c r="E22">
        <v>16.781293000000002</v>
      </c>
      <c r="F22" t="s">
        <v>1490</v>
      </c>
      <c r="G22" t="s">
        <v>1491</v>
      </c>
    </row>
    <row r="23" spans="1:7" x14ac:dyDescent="0.3">
      <c r="A23" t="s">
        <v>1486</v>
      </c>
      <c r="B23" t="s">
        <v>1502</v>
      </c>
      <c r="C23" t="s">
        <v>56</v>
      </c>
      <c r="D23">
        <v>2.1014910000000002</v>
      </c>
      <c r="E23">
        <v>26.133631999999999</v>
      </c>
      <c r="F23" t="s">
        <v>1487</v>
      </c>
      <c r="G23" t="s">
        <v>1491</v>
      </c>
    </row>
    <row r="24" spans="1:7" x14ac:dyDescent="0.3">
      <c r="A24" t="s">
        <v>1486</v>
      </c>
      <c r="B24" t="s">
        <v>1139</v>
      </c>
      <c r="C24" t="s">
        <v>66</v>
      </c>
      <c r="D24">
        <v>-11.266565999999999</v>
      </c>
      <c r="E24">
        <v>26.245055000000001</v>
      </c>
      <c r="F24" t="s">
        <v>1492</v>
      </c>
      <c r="G24" t="s">
        <v>1488</v>
      </c>
    </row>
    <row r="25" spans="1:7" x14ac:dyDescent="0.3">
      <c r="A25" t="s">
        <v>1486</v>
      </c>
      <c r="B25" t="s">
        <v>1234</v>
      </c>
      <c r="C25" t="s">
        <v>25</v>
      </c>
      <c r="D25">
        <v>0.40267799999999998</v>
      </c>
      <c r="E25">
        <v>16.000858000000001</v>
      </c>
      <c r="F25" t="s">
        <v>1492</v>
      </c>
      <c r="G25" t="s">
        <v>1500</v>
      </c>
    </row>
    <row r="26" spans="1:7" x14ac:dyDescent="0.3">
      <c r="A26" t="s">
        <v>1486</v>
      </c>
      <c r="B26" t="s">
        <v>953</v>
      </c>
      <c r="C26" t="s">
        <v>30</v>
      </c>
      <c r="D26">
        <v>-8.3241560000000003</v>
      </c>
      <c r="E26">
        <v>19.543866000000001</v>
      </c>
      <c r="F26" t="s">
        <v>1490</v>
      </c>
      <c r="G26" t="s">
        <v>1493</v>
      </c>
    </row>
    <row r="27" spans="1:7" x14ac:dyDescent="0.3">
      <c r="A27" t="s">
        <v>1486</v>
      </c>
      <c r="B27" t="s">
        <v>1503</v>
      </c>
      <c r="C27" t="s">
        <v>77</v>
      </c>
      <c r="D27">
        <v>-6.5144820000000001</v>
      </c>
      <c r="E27">
        <v>13.815521</v>
      </c>
      <c r="F27" t="s">
        <v>1490</v>
      </c>
      <c r="G27" t="s">
        <v>1493</v>
      </c>
    </row>
    <row r="28" spans="1:7" x14ac:dyDescent="0.3">
      <c r="A28" t="s">
        <v>1486</v>
      </c>
      <c r="B28" t="s">
        <v>948</v>
      </c>
      <c r="C28" t="s">
        <v>20</v>
      </c>
      <c r="D28">
        <v>-2.9651529999999999</v>
      </c>
      <c r="E28">
        <v>29.79908</v>
      </c>
      <c r="F28" t="s">
        <v>1490</v>
      </c>
      <c r="G28" t="s">
        <v>1488</v>
      </c>
    </row>
    <row r="29" spans="1:7" x14ac:dyDescent="0.3">
      <c r="A29" t="s">
        <v>1486</v>
      </c>
      <c r="B29" t="s">
        <v>1095</v>
      </c>
      <c r="C29" t="s">
        <v>28</v>
      </c>
      <c r="D29">
        <v>1.5802860000000001</v>
      </c>
      <c r="E29">
        <v>20.99053</v>
      </c>
      <c r="F29" t="s">
        <v>1490</v>
      </c>
      <c r="G29" t="s">
        <v>1493</v>
      </c>
    </row>
    <row r="30" spans="1:7" x14ac:dyDescent="0.3">
      <c r="A30" t="s">
        <v>1486</v>
      </c>
      <c r="B30" t="s">
        <v>1504</v>
      </c>
      <c r="C30" t="s">
        <v>25</v>
      </c>
      <c r="D30">
        <v>-6.8054750000000004</v>
      </c>
      <c r="E30">
        <v>13.022683000000001</v>
      </c>
      <c r="F30" t="s">
        <v>1490</v>
      </c>
      <c r="G30" t="s">
        <v>1491</v>
      </c>
    </row>
    <row r="31" spans="1:7" x14ac:dyDescent="0.3">
      <c r="A31" t="s">
        <v>1486</v>
      </c>
      <c r="B31" t="s">
        <v>1505</v>
      </c>
      <c r="C31" t="s">
        <v>9</v>
      </c>
      <c r="D31">
        <v>-5.5883039999999999</v>
      </c>
      <c r="E31">
        <v>26.647739999999999</v>
      </c>
      <c r="F31" t="s">
        <v>1492</v>
      </c>
      <c r="G31" t="s">
        <v>1488</v>
      </c>
    </row>
    <row r="32" spans="1:7" x14ac:dyDescent="0.3">
      <c r="A32" t="s">
        <v>1486</v>
      </c>
      <c r="B32" t="s">
        <v>897</v>
      </c>
      <c r="C32" t="s">
        <v>32</v>
      </c>
      <c r="D32">
        <v>-6.6803710000000001</v>
      </c>
      <c r="E32">
        <v>21.955673000000001</v>
      </c>
      <c r="F32" t="s">
        <v>1490</v>
      </c>
      <c r="G32" t="s">
        <v>1500</v>
      </c>
    </row>
    <row r="33" spans="1:7" x14ac:dyDescent="0.3">
      <c r="A33" t="s">
        <v>1486</v>
      </c>
      <c r="B33" t="s">
        <v>1506</v>
      </c>
      <c r="C33" t="s">
        <v>9</v>
      </c>
      <c r="D33">
        <v>-0.767455</v>
      </c>
      <c r="E33">
        <v>30.924261000000001</v>
      </c>
      <c r="F33" t="s">
        <v>1492</v>
      </c>
      <c r="G33" t="s">
        <v>1491</v>
      </c>
    </row>
    <row r="34" spans="1:7" x14ac:dyDescent="0.3">
      <c r="A34" t="s">
        <v>1486</v>
      </c>
      <c r="B34" t="s">
        <v>861</v>
      </c>
      <c r="C34" t="s">
        <v>36</v>
      </c>
      <c r="D34">
        <v>-2.099631</v>
      </c>
      <c r="E34">
        <v>13.974640000000001</v>
      </c>
      <c r="F34" t="s">
        <v>1492</v>
      </c>
      <c r="G34" t="s">
        <v>1500</v>
      </c>
    </row>
    <row r="35" spans="1:7" x14ac:dyDescent="0.3">
      <c r="A35" t="s">
        <v>1486</v>
      </c>
      <c r="B35" t="s">
        <v>1507</v>
      </c>
      <c r="C35" t="s">
        <v>135</v>
      </c>
      <c r="D35">
        <v>-2.6166320000000001</v>
      </c>
      <c r="E35">
        <v>23.743941</v>
      </c>
      <c r="F35" t="s">
        <v>1487</v>
      </c>
      <c r="G35" t="s">
        <v>1500</v>
      </c>
    </row>
    <row r="36" spans="1:7" x14ac:dyDescent="0.3">
      <c r="A36" t="s">
        <v>1486</v>
      </c>
      <c r="B36" t="s">
        <v>1292</v>
      </c>
      <c r="C36" t="s">
        <v>20</v>
      </c>
      <c r="D36">
        <v>-1.3024210000000001</v>
      </c>
      <c r="E36">
        <v>13.601914000000001</v>
      </c>
      <c r="F36" t="s">
        <v>1492</v>
      </c>
      <c r="G36" t="s">
        <v>1491</v>
      </c>
    </row>
    <row r="37" spans="1:7" x14ac:dyDescent="0.3">
      <c r="A37" t="s">
        <v>1486</v>
      </c>
      <c r="B37" t="s">
        <v>1508</v>
      </c>
      <c r="C37" t="s">
        <v>20</v>
      </c>
      <c r="D37">
        <v>-3.3081109999999998</v>
      </c>
      <c r="E37">
        <v>29.700202000000001</v>
      </c>
      <c r="F37" t="s">
        <v>1490</v>
      </c>
      <c r="G37" t="s">
        <v>1500</v>
      </c>
    </row>
    <row r="38" spans="1:7" x14ac:dyDescent="0.3">
      <c r="A38" t="s">
        <v>1486</v>
      </c>
      <c r="B38" t="s">
        <v>818</v>
      </c>
      <c r="C38" t="s">
        <v>129</v>
      </c>
      <c r="D38">
        <v>4.6287159999999998</v>
      </c>
      <c r="E38">
        <v>19.407077999999998</v>
      </c>
      <c r="F38" t="s">
        <v>1490</v>
      </c>
      <c r="G38" t="s">
        <v>1488</v>
      </c>
    </row>
    <row r="39" spans="1:7" x14ac:dyDescent="0.3">
      <c r="A39" t="s">
        <v>1486</v>
      </c>
      <c r="B39" t="s">
        <v>1184</v>
      </c>
      <c r="C39" t="s">
        <v>66</v>
      </c>
      <c r="D39">
        <v>-7.8770429999999996</v>
      </c>
      <c r="E39">
        <v>16.357762999999998</v>
      </c>
      <c r="F39" t="s">
        <v>1490</v>
      </c>
      <c r="G39" t="s">
        <v>1488</v>
      </c>
    </row>
    <row r="40" spans="1:7" x14ac:dyDescent="0.3">
      <c r="A40" t="s">
        <v>1486</v>
      </c>
      <c r="B40" t="s">
        <v>1201</v>
      </c>
      <c r="C40" t="s">
        <v>125</v>
      </c>
      <c r="D40">
        <v>-7.1483749999999997</v>
      </c>
      <c r="E40">
        <v>26.014271000000001</v>
      </c>
      <c r="F40" t="s">
        <v>1487</v>
      </c>
      <c r="G40" t="s">
        <v>1491</v>
      </c>
    </row>
    <row r="41" spans="1:7" x14ac:dyDescent="0.3">
      <c r="A41" t="s">
        <v>1486</v>
      </c>
      <c r="B41" t="s">
        <v>1291</v>
      </c>
      <c r="C41" t="s">
        <v>28</v>
      </c>
      <c r="D41">
        <v>-3.8119990000000001</v>
      </c>
      <c r="E41">
        <v>20.420048000000001</v>
      </c>
      <c r="F41" t="s">
        <v>1492</v>
      </c>
      <c r="G41" t="s">
        <v>1493</v>
      </c>
    </row>
    <row r="42" spans="1:7" x14ac:dyDescent="0.3">
      <c r="A42" t="s">
        <v>1486</v>
      </c>
      <c r="B42" t="s">
        <v>871</v>
      </c>
      <c r="C42" t="s">
        <v>87</v>
      </c>
      <c r="D42">
        <v>0.94539899999999999</v>
      </c>
      <c r="E42">
        <v>14.401821999999999</v>
      </c>
      <c r="F42" t="s">
        <v>1487</v>
      </c>
      <c r="G42" t="s">
        <v>1500</v>
      </c>
    </row>
    <row r="43" spans="1:7" x14ac:dyDescent="0.3">
      <c r="A43" t="s">
        <v>1486</v>
      </c>
      <c r="B43" t="s">
        <v>1028</v>
      </c>
      <c r="C43" t="s">
        <v>43</v>
      </c>
      <c r="D43">
        <v>-4.9552579999999997</v>
      </c>
      <c r="E43">
        <v>22.008103999999999</v>
      </c>
      <c r="F43" t="s">
        <v>1490</v>
      </c>
      <c r="G43" t="s">
        <v>1491</v>
      </c>
    </row>
    <row r="44" spans="1:7" x14ac:dyDescent="0.3">
      <c r="A44" t="s">
        <v>1486</v>
      </c>
      <c r="B44" t="s">
        <v>1311</v>
      </c>
      <c r="C44" t="s">
        <v>87</v>
      </c>
      <c r="D44">
        <v>-11.588665000000001</v>
      </c>
      <c r="E44">
        <v>15.241552</v>
      </c>
      <c r="F44" t="s">
        <v>1490</v>
      </c>
      <c r="G44" t="s">
        <v>1500</v>
      </c>
    </row>
    <row r="45" spans="1:7" x14ac:dyDescent="0.3">
      <c r="A45" t="s">
        <v>1486</v>
      </c>
      <c r="B45" t="s">
        <v>1208</v>
      </c>
      <c r="C45" t="s">
        <v>12</v>
      </c>
      <c r="D45">
        <v>-1.9540519999999999</v>
      </c>
      <c r="E45">
        <v>12.667945</v>
      </c>
      <c r="F45" t="s">
        <v>1490</v>
      </c>
      <c r="G45" t="s">
        <v>1491</v>
      </c>
    </row>
    <row r="46" spans="1:7" x14ac:dyDescent="0.3">
      <c r="A46" t="s">
        <v>1486</v>
      </c>
      <c r="B46" t="s">
        <v>1509</v>
      </c>
      <c r="C46" t="s">
        <v>56</v>
      </c>
      <c r="D46">
        <v>-4.652463</v>
      </c>
      <c r="E46">
        <v>18.779983999999999</v>
      </c>
      <c r="F46" t="s">
        <v>1492</v>
      </c>
      <c r="G46" t="s">
        <v>1500</v>
      </c>
    </row>
    <row r="47" spans="1:7" x14ac:dyDescent="0.3">
      <c r="A47" t="s">
        <v>1486</v>
      </c>
      <c r="B47" t="s">
        <v>1510</v>
      </c>
      <c r="C47" t="s">
        <v>50</v>
      </c>
      <c r="D47">
        <v>4.2187000000000001</v>
      </c>
      <c r="E47">
        <v>29.390174999999999</v>
      </c>
      <c r="F47" t="s">
        <v>1490</v>
      </c>
      <c r="G47" t="s">
        <v>1493</v>
      </c>
    </row>
    <row r="48" spans="1:7" x14ac:dyDescent="0.3">
      <c r="A48" t="s">
        <v>1486</v>
      </c>
      <c r="B48" t="s">
        <v>1074</v>
      </c>
      <c r="C48" t="s">
        <v>17</v>
      </c>
      <c r="D48">
        <v>2.628638</v>
      </c>
      <c r="E48">
        <v>28.420582</v>
      </c>
      <c r="F48" t="s">
        <v>1490</v>
      </c>
      <c r="G48" t="s">
        <v>1491</v>
      </c>
    </row>
    <row r="49" spans="1:7" x14ac:dyDescent="0.3">
      <c r="A49" t="s">
        <v>1486</v>
      </c>
      <c r="B49" t="s">
        <v>1511</v>
      </c>
      <c r="C49" t="s">
        <v>66</v>
      </c>
      <c r="D49">
        <v>-1.4695480000000001</v>
      </c>
      <c r="E49">
        <v>20.876676</v>
      </c>
      <c r="F49" t="s">
        <v>1487</v>
      </c>
      <c r="G49" t="s">
        <v>1488</v>
      </c>
    </row>
    <row r="50" spans="1:7" x14ac:dyDescent="0.3">
      <c r="A50" t="s">
        <v>1486</v>
      </c>
      <c r="B50" t="s">
        <v>1512</v>
      </c>
      <c r="C50" t="s">
        <v>23</v>
      </c>
      <c r="D50">
        <v>3.7141999999999999</v>
      </c>
      <c r="E50">
        <v>28.547066999999998</v>
      </c>
      <c r="F50" t="s">
        <v>1492</v>
      </c>
      <c r="G50" t="s">
        <v>1493</v>
      </c>
    </row>
    <row r="51" spans="1:7" x14ac:dyDescent="0.3">
      <c r="A51" t="s">
        <v>1486</v>
      </c>
      <c r="B51" t="s">
        <v>1151</v>
      </c>
      <c r="C51" t="s">
        <v>56</v>
      </c>
      <c r="D51">
        <v>-5.4073029999999997</v>
      </c>
      <c r="E51">
        <v>29.762294000000001</v>
      </c>
      <c r="F51" t="s">
        <v>1492</v>
      </c>
      <c r="G51" t="s">
        <v>1488</v>
      </c>
    </row>
    <row r="52" spans="1:7" x14ac:dyDescent="0.3">
      <c r="A52" t="s">
        <v>1513</v>
      </c>
      <c r="B52" t="s">
        <v>1514</v>
      </c>
      <c r="C52" t="s">
        <v>20</v>
      </c>
      <c r="D52">
        <v>-3.6233270000000002</v>
      </c>
      <c r="E52">
        <v>25.915645999999999</v>
      </c>
      <c r="F52" t="s">
        <v>1492</v>
      </c>
      <c r="G52" t="s">
        <v>1491</v>
      </c>
    </row>
    <row r="53" spans="1:7" x14ac:dyDescent="0.3">
      <c r="A53" t="s">
        <v>1513</v>
      </c>
      <c r="B53" t="s">
        <v>1515</v>
      </c>
      <c r="C53" t="s">
        <v>125</v>
      </c>
      <c r="D53">
        <v>-8.4403710000000007</v>
      </c>
      <c r="E53">
        <v>17.231165000000001</v>
      </c>
      <c r="F53" t="s">
        <v>1490</v>
      </c>
      <c r="G53" t="s">
        <v>1491</v>
      </c>
    </row>
    <row r="54" spans="1:7" x14ac:dyDescent="0.3">
      <c r="A54" t="s">
        <v>1513</v>
      </c>
      <c r="B54" t="s">
        <v>1029</v>
      </c>
      <c r="C54" t="s">
        <v>36</v>
      </c>
      <c r="D54">
        <v>-1.50664</v>
      </c>
      <c r="E54">
        <v>27.795642000000001</v>
      </c>
      <c r="F54" t="s">
        <v>1487</v>
      </c>
      <c r="G54" t="s">
        <v>1493</v>
      </c>
    </row>
    <row r="55" spans="1:7" x14ac:dyDescent="0.3">
      <c r="A55" t="s">
        <v>1513</v>
      </c>
      <c r="B55" t="s">
        <v>1083</v>
      </c>
      <c r="C55" t="s">
        <v>23</v>
      </c>
      <c r="D55">
        <v>-9.4229749999999992</v>
      </c>
      <c r="E55">
        <v>29.375005999999999</v>
      </c>
      <c r="F55" t="s">
        <v>1492</v>
      </c>
      <c r="G55" t="s">
        <v>1488</v>
      </c>
    </row>
    <row r="56" spans="1:7" x14ac:dyDescent="0.3">
      <c r="A56" t="s">
        <v>1513</v>
      </c>
      <c r="B56" t="s">
        <v>1016</v>
      </c>
      <c r="C56" t="s">
        <v>61</v>
      </c>
      <c r="D56">
        <v>2.975352</v>
      </c>
      <c r="E56">
        <v>22.535886000000001</v>
      </c>
      <c r="F56" t="s">
        <v>1490</v>
      </c>
      <c r="G56" t="s">
        <v>1491</v>
      </c>
    </row>
    <row r="57" spans="1:7" x14ac:dyDescent="0.3">
      <c r="A57" t="s">
        <v>1513</v>
      </c>
      <c r="B57" t="s">
        <v>1246</v>
      </c>
      <c r="C57" t="s">
        <v>77</v>
      </c>
      <c r="D57">
        <v>2.5458379999999998</v>
      </c>
      <c r="E57">
        <v>13.308655</v>
      </c>
      <c r="F57" t="s">
        <v>1487</v>
      </c>
      <c r="G57" t="s">
        <v>1493</v>
      </c>
    </row>
    <row r="58" spans="1:7" x14ac:dyDescent="0.3">
      <c r="A58" t="s">
        <v>1513</v>
      </c>
      <c r="B58" t="s">
        <v>1133</v>
      </c>
      <c r="C58" t="s">
        <v>39</v>
      </c>
      <c r="D58">
        <v>-9.0798120000000004</v>
      </c>
      <c r="E58">
        <v>14.945484</v>
      </c>
      <c r="F58" t="s">
        <v>1487</v>
      </c>
      <c r="G58" t="s">
        <v>1488</v>
      </c>
    </row>
    <row r="59" spans="1:7" x14ac:dyDescent="0.3">
      <c r="A59" t="s">
        <v>1513</v>
      </c>
      <c r="B59" t="s">
        <v>1098</v>
      </c>
      <c r="C59" t="s">
        <v>135</v>
      </c>
      <c r="D59">
        <v>-10.967288</v>
      </c>
      <c r="E59">
        <v>17.617781000000001</v>
      </c>
      <c r="F59" t="s">
        <v>1490</v>
      </c>
      <c r="G59" t="s">
        <v>1488</v>
      </c>
    </row>
    <row r="60" spans="1:7" x14ac:dyDescent="0.3">
      <c r="A60" t="s">
        <v>1513</v>
      </c>
      <c r="B60" t="s">
        <v>928</v>
      </c>
      <c r="C60" t="s">
        <v>43</v>
      </c>
      <c r="D60">
        <v>-1.607639</v>
      </c>
      <c r="E60">
        <v>17.003636</v>
      </c>
      <c r="F60" t="s">
        <v>1490</v>
      </c>
      <c r="G60" t="s">
        <v>1488</v>
      </c>
    </row>
    <row r="61" spans="1:7" x14ac:dyDescent="0.3">
      <c r="A61" t="s">
        <v>1513</v>
      </c>
      <c r="B61" t="s">
        <v>1347</v>
      </c>
      <c r="C61" t="s">
        <v>61</v>
      </c>
      <c r="D61">
        <v>-7.1587569999999996</v>
      </c>
      <c r="E61">
        <v>18.975141000000001</v>
      </c>
      <c r="F61" t="s">
        <v>1487</v>
      </c>
      <c r="G61" t="s">
        <v>1488</v>
      </c>
    </row>
    <row r="62" spans="1:7" x14ac:dyDescent="0.3">
      <c r="A62" t="s">
        <v>1513</v>
      </c>
      <c r="B62" t="s">
        <v>915</v>
      </c>
      <c r="C62" t="s">
        <v>66</v>
      </c>
      <c r="D62">
        <v>-9.9875139999999991</v>
      </c>
      <c r="E62">
        <v>12.013676999999999</v>
      </c>
      <c r="F62" t="s">
        <v>1492</v>
      </c>
      <c r="G62" t="s">
        <v>1493</v>
      </c>
    </row>
    <row r="63" spans="1:7" x14ac:dyDescent="0.3">
      <c r="A63" t="s">
        <v>1513</v>
      </c>
      <c r="B63" t="s">
        <v>1254</v>
      </c>
      <c r="C63" t="s">
        <v>135</v>
      </c>
      <c r="D63">
        <v>-8.0301989999999996</v>
      </c>
      <c r="E63">
        <v>24.122495000000001</v>
      </c>
      <c r="F63" t="s">
        <v>1487</v>
      </c>
      <c r="G63" t="s">
        <v>1493</v>
      </c>
    </row>
    <row r="64" spans="1:7" x14ac:dyDescent="0.3">
      <c r="A64" t="s">
        <v>1513</v>
      </c>
      <c r="B64" t="s">
        <v>1037</v>
      </c>
      <c r="C64" t="s">
        <v>129</v>
      </c>
      <c r="D64">
        <v>-10.846306999999999</v>
      </c>
      <c r="E64">
        <v>19.201827999999999</v>
      </c>
      <c r="F64" t="s">
        <v>1490</v>
      </c>
      <c r="G64" t="s">
        <v>1488</v>
      </c>
    </row>
    <row r="65" spans="1:7" x14ac:dyDescent="0.3">
      <c r="A65" t="s">
        <v>1513</v>
      </c>
      <c r="B65" t="s">
        <v>1516</v>
      </c>
      <c r="C65" t="s">
        <v>39</v>
      </c>
      <c r="D65">
        <v>1.204588</v>
      </c>
      <c r="E65">
        <v>15.525152</v>
      </c>
      <c r="F65" t="s">
        <v>1487</v>
      </c>
      <c r="G65" t="s">
        <v>1491</v>
      </c>
    </row>
    <row r="66" spans="1:7" x14ac:dyDescent="0.3">
      <c r="A66" t="s">
        <v>1513</v>
      </c>
      <c r="B66" t="s">
        <v>1252</v>
      </c>
      <c r="C66" t="s">
        <v>59</v>
      </c>
      <c r="D66">
        <v>-12.839263000000001</v>
      </c>
      <c r="E66">
        <v>12.355677</v>
      </c>
      <c r="F66" t="s">
        <v>1492</v>
      </c>
      <c r="G66" t="s">
        <v>1491</v>
      </c>
    </row>
    <row r="67" spans="1:7" x14ac:dyDescent="0.3">
      <c r="A67" t="s">
        <v>1513</v>
      </c>
      <c r="B67" t="s">
        <v>1517</v>
      </c>
      <c r="C67" t="s">
        <v>25</v>
      </c>
      <c r="D67">
        <v>-12.244119</v>
      </c>
      <c r="E67">
        <v>28.279755999999999</v>
      </c>
      <c r="F67" t="s">
        <v>1487</v>
      </c>
      <c r="G67" t="s">
        <v>1493</v>
      </c>
    </row>
    <row r="68" spans="1:7" x14ac:dyDescent="0.3">
      <c r="A68" t="s">
        <v>1513</v>
      </c>
      <c r="B68" t="s">
        <v>1518</v>
      </c>
      <c r="C68" t="s">
        <v>28</v>
      </c>
      <c r="D68">
        <v>1.102554</v>
      </c>
      <c r="E68">
        <v>26.744315</v>
      </c>
      <c r="F68" t="s">
        <v>1492</v>
      </c>
      <c r="G68" t="s">
        <v>1488</v>
      </c>
    </row>
    <row r="69" spans="1:7" x14ac:dyDescent="0.3">
      <c r="A69" t="s">
        <v>1513</v>
      </c>
      <c r="B69" t="s">
        <v>969</v>
      </c>
      <c r="C69" t="s">
        <v>32</v>
      </c>
      <c r="D69">
        <v>-4.4451280000000004</v>
      </c>
      <c r="E69">
        <v>16.536944999999999</v>
      </c>
      <c r="F69" t="s">
        <v>1490</v>
      </c>
      <c r="G69" t="s">
        <v>1488</v>
      </c>
    </row>
    <row r="70" spans="1:7" x14ac:dyDescent="0.3">
      <c r="A70" t="s">
        <v>1513</v>
      </c>
      <c r="B70" t="s">
        <v>965</v>
      </c>
      <c r="C70" t="s">
        <v>66</v>
      </c>
      <c r="D70">
        <v>-2.2681789999999999</v>
      </c>
      <c r="E70">
        <v>25.699068</v>
      </c>
      <c r="F70" t="s">
        <v>1492</v>
      </c>
      <c r="G70" t="s">
        <v>1493</v>
      </c>
    </row>
    <row r="71" spans="1:7" x14ac:dyDescent="0.3">
      <c r="A71" t="s">
        <v>1513</v>
      </c>
      <c r="B71" t="s">
        <v>899</v>
      </c>
      <c r="C71" t="s">
        <v>129</v>
      </c>
      <c r="D71">
        <v>-6.3148239999999998</v>
      </c>
      <c r="E71">
        <v>24.507498999999999</v>
      </c>
      <c r="F71" t="s">
        <v>1492</v>
      </c>
      <c r="G71" t="s">
        <v>1493</v>
      </c>
    </row>
    <row r="72" spans="1:7" x14ac:dyDescent="0.3">
      <c r="A72" t="s">
        <v>1513</v>
      </c>
      <c r="B72" t="s">
        <v>1137</v>
      </c>
      <c r="C72" t="s">
        <v>63</v>
      </c>
      <c r="D72">
        <v>-11.389362</v>
      </c>
      <c r="E72">
        <v>22.240174</v>
      </c>
      <c r="F72" t="s">
        <v>1487</v>
      </c>
      <c r="G72" t="s">
        <v>1493</v>
      </c>
    </row>
    <row r="73" spans="1:7" x14ac:dyDescent="0.3">
      <c r="A73" t="s">
        <v>1513</v>
      </c>
      <c r="B73" t="s">
        <v>1238</v>
      </c>
      <c r="C73" t="s">
        <v>50</v>
      </c>
      <c r="D73">
        <v>-10.161428000000001</v>
      </c>
      <c r="E73">
        <v>19.362325999999999</v>
      </c>
      <c r="F73" t="s">
        <v>1492</v>
      </c>
      <c r="G73" t="s">
        <v>1500</v>
      </c>
    </row>
    <row r="74" spans="1:7" x14ac:dyDescent="0.3">
      <c r="A74" t="s">
        <v>1513</v>
      </c>
      <c r="B74" t="s">
        <v>1285</v>
      </c>
      <c r="C74" t="s">
        <v>135</v>
      </c>
      <c r="D74">
        <v>-11.354772000000001</v>
      </c>
      <c r="E74">
        <v>21.957325999999998</v>
      </c>
      <c r="F74" t="s">
        <v>1492</v>
      </c>
      <c r="G74" t="s">
        <v>1500</v>
      </c>
    </row>
    <row r="75" spans="1:7" x14ac:dyDescent="0.3">
      <c r="A75" t="s">
        <v>1513</v>
      </c>
      <c r="B75" t="s">
        <v>845</v>
      </c>
      <c r="C75" t="s">
        <v>36</v>
      </c>
      <c r="D75">
        <v>-1.864393</v>
      </c>
      <c r="E75">
        <v>21.453434000000001</v>
      </c>
      <c r="F75" t="s">
        <v>1487</v>
      </c>
      <c r="G75" t="s">
        <v>1488</v>
      </c>
    </row>
    <row r="76" spans="1:7" x14ac:dyDescent="0.3">
      <c r="A76" t="s">
        <v>1513</v>
      </c>
      <c r="B76" t="s">
        <v>1519</v>
      </c>
      <c r="C76" t="s">
        <v>56</v>
      </c>
      <c r="D76">
        <v>3.7552780000000001</v>
      </c>
      <c r="E76">
        <v>22.477888</v>
      </c>
      <c r="F76" t="s">
        <v>1492</v>
      </c>
      <c r="G76" t="s">
        <v>1500</v>
      </c>
    </row>
    <row r="77" spans="1:7" x14ac:dyDescent="0.3">
      <c r="A77" t="s">
        <v>1513</v>
      </c>
      <c r="B77" t="s">
        <v>1104</v>
      </c>
      <c r="C77" t="s">
        <v>129</v>
      </c>
      <c r="D77">
        <v>4.9455159999999996</v>
      </c>
      <c r="E77">
        <v>23.647746000000001</v>
      </c>
      <c r="F77" t="s">
        <v>1487</v>
      </c>
      <c r="G77" t="s">
        <v>1491</v>
      </c>
    </row>
    <row r="78" spans="1:7" x14ac:dyDescent="0.3">
      <c r="A78" t="s">
        <v>1513</v>
      </c>
      <c r="B78" t="s">
        <v>1520</v>
      </c>
      <c r="C78" t="s">
        <v>135</v>
      </c>
      <c r="D78">
        <v>-1.7476179999999999</v>
      </c>
      <c r="E78">
        <v>18.129401000000001</v>
      </c>
      <c r="F78" t="s">
        <v>1490</v>
      </c>
      <c r="G78" t="s">
        <v>1488</v>
      </c>
    </row>
    <row r="79" spans="1:7" x14ac:dyDescent="0.3">
      <c r="A79" t="s">
        <v>1513</v>
      </c>
      <c r="B79" t="s">
        <v>1298</v>
      </c>
      <c r="C79" t="s">
        <v>125</v>
      </c>
      <c r="D79">
        <v>-11.924048000000001</v>
      </c>
      <c r="E79">
        <v>24.177174999999998</v>
      </c>
      <c r="F79" t="s">
        <v>1492</v>
      </c>
      <c r="G79" t="s">
        <v>1500</v>
      </c>
    </row>
    <row r="80" spans="1:7" x14ac:dyDescent="0.3">
      <c r="A80" t="s">
        <v>1513</v>
      </c>
      <c r="B80" t="s">
        <v>1015</v>
      </c>
      <c r="C80" t="s">
        <v>56</v>
      </c>
      <c r="D80">
        <v>-1.3976519999999999</v>
      </c>
      <c r="E80">
        <v>14.098819000000001</v>
      </c>
      <c r="F80" t="s">
        <v>1492</v>
      </c>
      <c r="G80" t="s">
        <v>1488</v>
      </c>
    </row>
    <row r="81" spans="1:7" x14ac:dyDescent="0.3">
      <c r="A81" t="s">
        <v>1513</v>
      </c>
      <c r="B81" t="s">
        <v>1521</v>
      </c>
      <c r="C81" t="s">
        <v>17</v>
      </c>
      <c r="D81">
        <v>-0.37609300000000001</v>
      </c>
      <c r="E81">
        <v>21.940809999999999</v>
      </c>
      <c r="F81" t="s">
        <v>1487</v>
      </c>
      <c r="G81" t="s">
        <v>1491</v>
      </c>
    </row>
    <row r="82" spans="1:7" x14ac:dyDescent="0.3">
      <c r="A82" t="s">
        <v>1513</v>
      </c>
      <c r="B82" t="s">
        <v>1353</v>
      </c>
      <c r="C82" t="s">
        <v>61</v>
      </c>
      <c r="D82">
        <v>1.2463919999999999</v>
      </c>
      <c r="E82">
        <v>13.266916999999999</v>
      </c>
      <c r="F82" t="s">
        <v>1487</v>
      </c>
      <c r="G82" t="s">
        <v>1491</v>
      </c>
    </row>
    <row r="83" spans="1:7" x14ac:dyDescent="0.3">
      <c r="A83" t="s">
        <v>1513</v>
      </c>
      <c r="B83" t="s">
        <v>1449</v>
      </c>
      <c r="C83" t="s">
        <v>32</v>
      </c>
      <c r="D83">
        <v>-10.735106</v>
      </c>
      <c r="E83">
        <v>27.868673999999999</v>
      </c>
      <c r="F83" t="s">
        <v>1492</v>
      </c>
      <c r="G83" t="s">
        <v>1488</v>
      </c>
    </row>
    <row r="84" spans="1:7" x14ac:dyDescent="0.3">
      <c r="A84" t="s">
        <v>1513</v>
      </c>
      <c r="B84" t="s">
        <v>1367</v>
      </c>
      <c r="C84" t="s">
        <v>125</v>
      </c>
      <c r="D84">
        <v>-8.8118569999999998</v>
      </c>
      <c r="E84">
        <v>14.465711000000001</v>
      </c>
      <c r="F84" t="s">
        <v>1487</v>
      </c>
      <c r="G84" t="s">
        <v>1500</v>
      </c>
    </row>
    <row r="85" spans="1:7" x14ac:dyDescent="0.3">
      <c r="A85" t="s">
        <v>1513</v>
      </c>
      <c r="B85" t="s">
        <v>1522</v>
      </c>
      <c r="C85" t="s">
        <v>17</v>
      </c>
      <c r="D85">
        <v>4.6701629999999996</v>
      </c>
      <c r="E85">
        <v>28.596363</v>
      </c>
      <c r="F85" t="s">
        <v>1487</v>
      </c>
      <c r="G85" t="s">
        <v>1488</v>
      </c>
    </row>
    <row r="86" spans="1:7" x14ac:dyDescent="0.3">
      <c r="A86" t="s">
        <v>1513</v>
      </c>
      <c r="B86" t="s">
        <v>1523</v>
      </c>
      <c r="C86" t="s">
        <v>135</v>
      </c>
      <c r="D86">
        <v>1.194113</v>
      </c>
      <c r="E86">
        <v>15.839502</v>
      </c>
      <c r="F86" t="s">
        <v>1492</v>
      </c>
      <c r="G86" t="s">
        <v>1491</v>
      </c>
    </row>
    <row r="87" spans="1:7" x14ac:dyDescent="0.3">
      <c r="A87" t="s">
        <v>1513</v>
      </c>
      <c r="B87" t="s">
        <v>1197</v>
      </c>
      <c r="C87" t="s">
        <v>50</v>
      </c>
      <c r="D87">
        <v>0.62055499999999997</v>
      </c>
      <c r="E87">
        <v>21.222035000000002</v>
      </c>
      <c r="F87" t="s">
        <v>1487</v>
      </c>
      <c r="G87" t="s">
        <v>1500</v>
      </c>
    </row>
    <row r="88" spans="1:7" x14ac:dyDescent="0.3">
      <c r="A88" t="s">
        <v>1513</v>
      </c>
      <c r="B88" t="s">
        <v>1524</v>
      </c>
      <c r="C88" t="s">
        <v>72</v>
      </c>
      <c r="D88">
        <v>1.499457</v>
      </c>
      <c r="E88">
        <v>13.876317999999999</v>
      </c>
      <c r="F88" t="s">
        <v>1487</v>
      </c>
      <c r="G88" t="s">
        <v>1500</v>
      </c>
    </row>
    <row r="89" spans="1:7" x14ac:dyDescent="0.3">
      <c r="A89" t="s">
        <v>1513</v>
      </c>
      <c r="B89" t="s">
        <v>842</v>
      </c>
      <c r="C89" t="s">
        <v>12</v>
      </c>
      <c r="D89">
        <v>-5.1030600000000002</v>
      </c>
      <c r="E89">
        <v>22.849231</v>
      </c>
      <c r="F89" t="s">
        <v>1487</v>
      </c>
      <c r="G89" t="s">
        <v>1493</v>
      </c>
    </row>
    <row r="90" spans="1:7" x14ac:dyDescent="0.3">
      <c r="A90" t="s">
        <v>1513</v>
      </c>
      <c r="B90" t="s">
        <v>875</v>
      </c>
      <c r="C90" t="s">
        <v>32</v>
      </c>
      <c r="D90">
        <v>-9.5266249999999992</v>
      </c>
      <c r="E90">
        <v>27.889690999999999</v>
      </c>
      <c r="F90" t="s">
        <v>1490</v>
      </c>
      <c r="G90" t="s">
        <v>1488</v>
      </c>
    </row>
    <row r="91" spans="1:7" x14ac:dyDescent="0.3">
      <c r="A91" t="s">
        <v>1513</v>
      </c>
      <c r="B91" t="s">
        <v>1525</v>
      </c>
      <c r="C91" t="s">
        <v>25</v>
      </c>
      <c r="D91">
        <v>-0.59350000000000003</v>
      </c>
      <c r="E91">
        <v>24.500503999999999</v>
      </c>
      <c r="F91" t="s">
        <v>1487</v>
      </c>
      <c r="G91" t="s">
        <v>1491</v>
      </c>
    </row>
    <row r="92" spans="1:7" x14ac:dyDescent="0.3">
      <c r="A92" t="s">
        <v>1513</v>
      </c>
      <c r="B92" t="s">
        <v>1122</v>
      </c>
      <c r="C92" t="s">
        <v>129</v>
      </c>
      <c r="D92">
        <v>-6.5529849999999996</v>
      </c>
      <c r="E92">
        <v>21.990606</v>
      </c>
      <c r="F92" t="s">
        <v>1492</v>
      </c>
      <c r="G92" t="s">
        <v>1491</v>
      </c>
    </row>
    <row r="93" spans="1:7" x14ac:dyDescent="0.3">
      <c r="A93" t="s">
        <v>1513</v>
      </c>
      <c r="B93" t="s">
        <v>1375</v>
      </c>
      <c r="C93" t="s">
        <v>12</v>
      </c>
      <c r="D93">
        <v>-10.574821</v>
      </c>
      <c r="E93">
        <v>25.324966</v>
      </c>
      <c r="F93" t="s">
        <v>1487</v>
      </c>
      <c r="G93" t="s">
        <v>1488</v>
      </c>
    </row>
    <row r="94" spans="1:7" x14ac:dyDescent="0.3">
      <c r="A94" t="s">
        <v>1513</v>
      </c>
      <c r="B94" t="s">
        <v>1436</v>
      </c>
      <c r="C94" t="s">
        <v>34</v>
      </c>
      <c r="D94">
        <v>3.175935</v>
      </c>
      <c r="E94">
        <v>16.862832000000001</v>
      </c>
      <c r="F94" t="s">
        <v>1487</v>
      </c>
      <c r="G94" t="s">
        <v>1488</v>
      </c>
    </row>
    <row r="95" spans="1:7" x14ac:dyDescent="0.3">
      <c r="A95" t="s">
        <v>1513</v>
      </c>
      <c r="B95" t="s">
        <v>979</v>
      </c>
      <c r="C95" t="s">
        <v>77</v>
      </c>
      <c r="D95">
        <v>-4.2645619999999997</v>
      </c>
      <c r="E95">
        <v>18.960726000000001</v>
      </c>
      <c r="F95" t="s">
        <v>1490</v>
      </c>
      <c r="G95" t="s">
        <v>1491</v>
      </c>
    </row>
    <row r="96" spans="1:7" x14ac:dyDescent="0.3">
      <c r="A96" t="s">
        <v>1513</v>
      </c>
      <c r="B96" t="s">
        <v>1128</v>
      </c>
      <c r="C96" t="s">
        <v>28</v>
      </c>
      <c r="D96">
        <v>-5.125</v>
      </c>
      <c r="E96">
        <v>23.513119</v>
      </c>
      <c r="F96" t="s">
        <v>1487</v>
      </c>
      <c r="G96" t="s">
        <v>1491</v>
      </c>
    </row>
    <row r="97" spans="1:7" x14ac:dyDescent="0.3">
      <c r="A97" t="s">
        <v>1513</v>
      </c>
      <c r="B97" t="s">
        <v>1320</v>
      </c>
      <c r="C97" t="s">
        <v>15</v>
      </c>
      <c r="D97">
        <v>-7.6951369999999999</v>
      </c>
      <c r="E97">
        <v>13.346605</v>
      </c>
      <c r="F97" t="s">
        <v>1490</v>
      </c>
      <c r="G97" t="s">
        <v>1488</v>
      </c>
    </row>
    <row r="98" spans="1:7" x14ac:dyDescent="0.3">
      <c r="A98" t="s">
        <v>1513</v>
      </c>
      <c r="B98" t="s">
        <v>1526</v>
      </c>
      <c r="C98" t="s">
        <v>17</v>
      </c>
      <c r="D98">
        <v>-0.45332</v>
      </c>
      <c r="E98">
        <v>29.674009999999999</v>
      </c>
      <c r="F98" t="s">
        <v>1487</v>
      </c>
      <c r="G98" t="s">
        <v>1488</v>
      </c>
    </row>
    <row r="99" spans="1:7" x14ac:dyDescent="0.3">
      <c r="A99" t="s">
        <v>1513</v>
      </c>
      <c r="B99" t="s">
        <v>1088</v>
      </c>
      <c r="C99" t="s">
        <v>61</v>
      </c>
      <c r="D99">
        <v>-9.5840350000000001</v>
      </c>
      <c r="E99">
        <v>15.966024000000001</v>
      </c>
      <c r="F99" t="s">
        <v>1487</v>
      </c>
      <c r="G99" t="s">
        <v>1500</v>
      </c>
    </row>
    <row r="100" spans="1:7" x14ac:dyDescent="0.3">
      <c r="A100" t="s">
        <v>1513</v>
      </c>
      <c r="B100" t="s">
        <v>1441</v>
      </c>
      <c r="C100" t="s">
        <v>17</v>
      </c>
      <c r="D100">
        <v>-9.6407190000000007</v>
      </c>
      <c r="E100">
        <v>21.336704999999998</v>
      </c>
      <c r="F100" t="s">
        <v>1490</v>
      </c>
      <c r="G100" t="s">
        <v>1493</v>
      </c>
    </row>
    <row r="101" spans="1:7" x14ac:dyDescent="0.3">
      <c r="A101" t="s">
        <v>1513</v>
      </c>
      <c r="B101" t="s">
        <v>1527</v>
      </c>
      <c r="C101" t="s">
        <v>59</v>
      </c>
      <c r="D101">
        <v>-6.7420359999999997</v>
      </c>
      <c r="E101">
        <v>28.905578999999999</v>
      </c>
      <c r="F101" t="s">
        <v>1492</v>
      </c>
      <c r="G101" t="s">
        <v>1491</v>
      </c>
    </row>
    <row r="102" spans="1:7" x14ac:dyDescent="0.3">
      <c r="A102" t="s">
        <v>1528</v>
      </c>
      <c r="B102" t="s">
        <v>1008</v>
      </c>
      <c r="C102" t="s">
        <v>23</v>
      </c>
      <c r="D102">
        <v>0.16841400000000001</v>
      </c>
      <c r="E102">
        <v>30.029876999999999</v>
      </c>
      <c r="F102" t="s">
        <v>1487</v>
      </c>
      <c r="G102" t="s">
        <v>1491</v>
      </c>
    </row>
    <row r="103" spans="1:7" x14ac:dyDescent="0.3">
      <c r="A103" t="s">
        <v>1528</v>
      </c>
      <c r="B103" t="s">
        <v>1529</v>
      </c>
      <c r="C103" t="s">
        <v>25</v>
      </c>
      <c r="D103">
        <v>-5.9281110000000004</v>
      </c>
      <c r="E103">
        <v>29.607863999999999</v>
      </c>
      <c r="F103" t="s">
        <v>1490</v>
      </c>
      <c r="G103" t="s">
        <v>1491</v>
      </c>
    </row>
    <row r="104" spans="1:7" x14ac:dyDescent="0.3">
      <c r="A104" t="s">
        <v>1528</v>
      </c>
      <c r="B104" t="s">
        <v>825</v>
      </c>
      <c r="C104" t="s">
        <v>28</v>
      </c>
      <c r="D104">
        <v>-4.9789079999999997</v>
      </c>
      <c r="E104">
        <v>28.506295000000001</v>
      </c>
      <c r="F104" t="s">
        <v>1490</v>
      </c>
      <c r="G104" t="s">
        <v>1491</v>
      </c>
    </row>
    <row r="105" spans="1:7" x14ac:dyDescent="0.3">
      <c r="A105" t="s">
        <v>1528</v>
      </c>
      <c r="B105" t="s">
        <v>1113</v>
      </c>
      <c r="C105" t="s">
        <v>25</v>
      </c>
      <c r="D105">
        <v>-2.2876210000000001</v>
      </c>
      <c r="E105">
        <v>27.582545</v>
      </c>
      <c r="F105" t="s">
        <v>1490</v>
      </c>
      <c r="G105" t="s">
        <v>1491</v>
      </c>
    </row>
    <row r="106" spans="1:7" x14ac:dyDescent="0.3">
      <c r="A106" t="s">
        <v>1528</v>
      </c>
      <c r="B106" t="s">
        <v>1356</v>
      </c>
      <c r="C106" t="s">
        <v>36</v>
      </c>
      <c r="D106">
        <v>-3.9148719999999999</v>
      </c>
      <c r="E106">
        <v>12.260933</v>
      </c>
      <c r="F106" t="s">
        <v>1490</v>
      </c>
      <c r="G106" t="s">
        <v>1488</v>
      </c>
    </row>
    <row r="107" spans="1:7" x14ac:dyDescent="0.3">
      <c r="A107" t="s">
        <v>1528</v>
      </c>
      <c r="B107" t="s">
        <v>912</v>
      </c>
      <c r="C107" t="s">
        <v>36</v>
      </c>
      <c r="D107">
        <v>-9.002459</v>
      </c>
      <c r="E107">
        <v>25.182109000000001</v>
      </c>
      <c r="F107" t="s">
        <v>1487</v>
      </c>
      <c r="G107" t="s">
        <v>1491</v>
      </c>
    </row>
    <row r="108" spans="1:7" x14ac:dyDescent="0.3">
      <c r="A108" t="s">
        <v>1528</v>
      </c>
      <c r="B108" t="s">
        <v>1050</v>
      </c>
      <c r="C108" t="s">
        <v>87</v>
      </c>
      <c r="D108">
        <v>-7.7839049999999999</v>
      </c>
      <c r="E108">
        <v>14.114281999999999</v>
      </c>
      <c r="F108" t="s">
        <v>1492</v>
      </c>
      <c r="G108" t="s">
        <v>1493</v>
      </c>
    </row>
    <row r="109" spans="1:7" x14ac:dyDescent="0.3">
      <c r="A109" t="s">
        <v>1528</v>
      </c>
      <c r="B109" t="s">
        <v>851</v>
      </c>
      <c r="C109" t="s">
        <v>50</v>
      </c>
      <c r="D109">
        <v>-5.9021970000000001</v>
      </c>
      <c r="E109">
        <v>20.551169999999999</v>
      </c>
      <c r="F109" t="s">
        <v>1492</v>
      </c>
      <c r="G109" t="s">
        <v>1491</v>
      </c>
    </row>
    <row r="110" spans="1:7" x14ac:dyDescent="0.3">
      <c r="A110" t="s">
        <v>1528</v>
      </c>
      <c r="B110" t="s">
        <v>1530</v>
      </c>
      <c r="C110" t="s">
        <v>30</v>
      </c>
      <c r="D110">
        <v>-10.620597</v>
      </c>
      <c r="E110">
        <v>12.432214</v>
      </c>
      <c r="F110" t="s">
        <v>1490</v>
      </c>
      <c r="G110" t="s">
        <v>1491</v>
      </c>
    </row>
    <row r="111" spans="1:7" x14ac:dyDescent="0.3">
      <c r="A111" t="s">
        <v>1528</v>
      </c>
      <c r="B111" t="s">
        <v>874</v>
      </c>
      <c r="C111" t="s">
        <v>15</v>
      </c>
      <c r="D111">
        <v>-11.514188000000001</v>
      </c>
      <c r="E111">
        <v>15.971181</v>
      </c>
      <c r="F111" t="s">
        <v>1487</v>
      </c>
      <c r="G111" t="s">
        <v>1488</v>
      </c>
    </row>
    <row r="112" spans="1:7" x14ac:dyDescent="0.3">
      <c r="A112" t="s">
        <v>1528</v>
      </c>
      <c r="B112" t="s">
        <v>859</v>
      </c>
      <c r="C112" t="s">
        <v>34</v>
      </c>
      <c r="D112">
        <v>-2.7140689999999998</v>
      </c>
      <c r="E112">
        <v>22.222104000000002</v>
      </c>
      <c r="F112" t="s">
        <v>1490</v>
      </c>
      <c r="G112" t="s">
        <v>1500</v>
      </c>
    </row>
    <row r="113" spans="1:7" x14ac:dyDescent="0.3">
      <c r="A113" t="s">
        <v>1528</v>
      </c>
      <c r="B113" t="s">
        <v>1063</v>
      </c>
      <c r="C113" t="s">
        <v>61</v>
      </c>
      <c r="D113">
        <v>-12.112399999999999</v>
      </c>
      <c r="E113">
        <v>15.872226</v>
      </c>
      <c r="F113" t="s">
        <v>1490</v>
      </c>
      <c r="G113" t="s">
        <v>1500</v>
      </c>
    </row>
    <row r="114" spans="1:7" x14ac:dyDescent="0.3">
      <c r="A114" t="s">
        <v>1528</v>
      </c>
      <c r="B114" t="s">
        <v>1476</v>
      </c>
      <c r="C114" t="s">
        <v>17</v>
      </c>
      <c r="D114">
        <v>-5.8145569999999998</v>
      </c>
      <c r="E114">
        <v>21.942052</v>
      </c>
      <c r="F114" t="s">
        <v>1487</v>
      </c>
      <c r="G114" t="s">
        <v>1491</v>
      </c>
    </row>
    <row r="115" spans="1:7" x14ac:dyDescent="0.3">
      <c r="A115" t="s">
        <v>1528</v>
      </c>
      <c r="B115" t="s">
        <v>1211</v>
      </c>
      <c r="C115" t="s">
        <v>23</v>
      </c>
      <c r="D115">
        <v>-11.468578000000001</v>
      </c>
      <c r="E115">
        <v>16.914501999999999</v>
      </c>
      <c r="F115" t="s">
        <v>1490</v>
      </c>
      <c r="G115" t="s">
        <v>1488</v>
      </c>
    </row>
    <row r="116" spans="1:7" x14ac:dyDescent="0.3">
      <c r="A116" t="s">
        <v>1528</v>
      </c>
      <c r="B116" t="s">
        <v>1531</v>
      </c>
      <c r="C116" t="s">
        <v>87</v>
      </c>
      <c r="D116">
        <v>-3.967184</v>
      </c>
      <c r="E116">
        <v>21.177499999999998</v>
      </c>
      <c r="F116" t="s">
        <v>1492</v>
      </c>
      <c r="G116" t="s">
        <v>1491</v>
      </c>
    </row>
    <row r="117" spans="1:7" x14ac:dyDescent="0.3">
      <c r="A117" t="s">
        <v>1528</v>
      </c>
      <c r="B117" t="s">
        <v>1532</v>
      </c>
      <c r="C117" t="s">
        <v>129</v>
      </c>
      <c r="D117">
        <v>0.92885200000000001</v>
      </c>
      <c r="E117">
        <v>25.868548000000001</v>
      </c>
      <c r="F117" t="s">
        <v>1487</v>
      </c>
      <c r="G117" t="s">
        <v>1500</v>
      </c>
    </row>
    <row r="118" spans="1:7" x14ac:dyDescent="0.3">
      <c r="A118" t="s">
        <v>1528</v>
      </c>
      <c r="B118" t="s">
        <v>1257</v>
      </c>
      <c r="C118" t="s">
        <v>39</v>
      </c>
      <c r="D118">
        <v>-10.653247</v>
      </c>
      <c r="E118">
        <v>14.685601</v>
      </c>
      <c r="F118" t="s">
        <v>1490</v>
      </c>
      <c r="G118" t="s">
        <v>1488</v>
      </c>
    </row>
    <row r="119" spans="1:7" x14ac:dyDescent="0.3">
      <c r="A119" t="s">
        <v>1528</v>
      </c>
      <c r="B119" t="s">
        <v>1533</v>
      </c>
      <c r="C119" t="s">
        <v>135</v>
      </c>
      <c r="D119">
        <v>-10.572326</v>
      </c>
      <c r="E119">
        <v>25.276349</v>
      </c>
      <c r="F119" t="s">
        <v>1492</v>
      </c>
      <c r="G119" t="s">
        <v>1493</v>
      </c>
    </row>
    <row r="120" spans="1:7" x14ac:dyDescent="0.3">
      <c r="A120" t="s">
        <v>1528</v>
      </c>
      <c r="B120" t="s">
        <v>1534</v>
      </c>
      <c r="C120" t="s">
        <v>61</v>
      </c>
      <c r="D120">
        <v>-2.9326690000000002</v>
      </c>
      <c r="E120">
        <v>12.349382</v>
      </c>
      <c r="F120" t="s">
        <v>1487</v>
      </c>
      <c r="G120" t="s">
        <v>1493</v>
      </c>
    </row>
    <row r="121" spans="1:7" x14ac:dyDescent="0.3">
      <c r="A121" t="s">
        <v>1528</v>
      </c>
      <c r="B121" t="s">
        <v>1383</v>
      </c>
      <c r="C121" t="s">
        <v>135</v>
      </c>
      <c r="D121">
        <v>-4.2184999999999997</v>
      </c>
      <c r="E121">
        <v>23.077093999999999</v>
      </c>
      <c r="F121" t="s">
        <v>1490</v>
      </c>
      <c r="G121" t="s">
        <v>1488</v>
      </c>
    </row>
    <row r="122" spans="1:7" x14ac:dyDescent="0.3">
      <c r="A122" t="s">
        <v>1528</v>
      </c>
      <c r="B122" t="s">
        <v>1535</v>
      </c>
      <c r="C122" t="s">
        <v>77</v>
      </c>
      <c r="D122">
        <v>-1.259528</v>
      </c>
      <c r="E122">
        <v>24.607037999999999</v>
      </c>
      <c r="F122" t="s">
        <v>1490</v>
      </c>
      <c r="G122" t="s">
        <v>1493</v>
      </c>
    </row>
    <row r="123" spans="1:7" x14ac:dyDescent="0.3">
      <c r="A123" t="s">
        <v>1528</v>
      </c>
      <c r="B123" t="s">
        <v>903</v>
      </c>
      <c r="C123" t="s">
        <v>20</v>
      </c>
      <c r="D123">
        <v>-9.4702129999999993</v>
      </c>
      <c r="E123">
        <v>12.826158</v>
      </c>
      <c r="F123" t="s">
        <v>1492</v>
      </c>
      <c r="G123" t="s">
        <v>1488</v>
      </c>
    </row>
    <row r="124" spans="1:7" x14ac:dyDescent="0.3">
      <c r="A124" t="s">
        <v>1528</v>
      </c>
      <c r="B124" t="s">
        <v>1089</v>
      </c>
      <c r="C124" t="s">
        <v>9</v>
      </c>
      <c r="D124">
        <v>-1.9120569999999999</v>
      </c>
      <c r="E124">
        <v>15.236072999999999</v>
      </c>
      <c r="F124" t="s">
        <v>1487</v>
      </c>
      <c r="G124" t="s">
        <v>1491</v>
      </c>
    </row>
    <row r="125" spans="1:7" x14ac:dyDescent="0.3">
      <c r="A125" t="s">
        <v>1528</v>
      </c>
      <c r="B125" t="s">
        <v>918</v>
      </c>
      <c r="C125" t="s">
        <v>9</v>
      </c>
      <c r="D125">
        <v>0.24202000000000001</v>
      </c>
      <c r="E125">
        <v>17.396256999999999</v>
      </c>
      <c r="F125" t="s">
        <v>1490</v>
      </c>
      <c r="G125" t="s">
        <v>1491</v>
      </c>
    </row>
    <row r="126" spans="1:7" x14ac:dyDescent="0.3">
      <c r="A126" t="s">
        <v>1528</v>
      </c>
      <c r="B126" t="s">
        <v>929</v>
      </c>
      <c r="C126" t="s">
        <v>50</v>
      </c>
      <c r="D126">
        <v>-8.5675749999999997</v>
      </c>
      <c r="E126">
        <v>26.994581</v>
      </c>
      <c r="F126" t="s">
        <v>1492</v>
      </c>
      <c r="G126" t="s">
        <v>1500</v>
      </c>
    </row>
    <row r="127" spans="1:7" x14ac:dyDescent="0.3">
      <c r="A127" t="s">
        <v>1528</v>
      </c>
      <c r="B127" t="s">
        <v>844</v>
      </c>
      <c r="C127" t="s">
        <v>135</v>
      </c>
      <c r="D127">
        <v>-11.710407999999999</v>
      </c>
      <c r="E127">
        <v>23.741330999999999</v>
      </c>
      <c r="F127" t="s">
        <v>1492</v>
      </c>
      <c r="G127" t="s">
        <v>1491</v>
      </c>
    </row>
    <row r="128" spans="1:7" x14ac:dyDescent="0.3">
      <c r="A128" t="s">
        <v>1528</v>
      </c>
      <c r="B128" t="s">
        <v>1536</v>
      </c>
      <c r="C128" t="s">
        <v>56</v>
      </c>
      <c r="D128">
        <v>0.98189400000000004</v>
      </c>
      <c r="E128">
        <v>13.008620000000001</v>
      </c>
      <c r="F128" t="s">
        <v>1490</v>
      </c>
      <c r="G128" t="s">
        <v>1491</v>
      </c>
    </row>
    <row r="129" spans="1:7" x14ac:dyDescent="0.3">
      <c r="A129" t="s">
        <v>1528</v>
      </c>
      <c r="B129" t="s">
        <v>1112</v>
      </c>
      <c r="C129" t="s">
        <v>17</v>
      </c>
      <c r="D129">
        <v>-7.1785899999999998</v>
      </c>
      <c r="E129">
        <v>24.4404</v>
      </c>
      <c r="F129" t="s">
        <v>1490</v>
      </c>
      <c r="G129" t="s">
        <v>1500</v>
      </c>
    </row>
    <row r="130" spans="1:7" x14ac:dyDescent="0.3">
      <c r="A130" t="s">
        <v>1528</v>
      </c>
      <c r="B130" t="s">
        <v>1114</v>
      </c>
      <c r="C130" t="s">
        <v>15</v>
      </c>
      <c r="D130">
        <v>3.6344850000000002</v>
      </c>
      <c r="E130">
        <v>12.158348999999999</v>
      </c>
      <c r="F130" t="s">
        <v>1487</v>
      </c>
      <c r="G130" t="s">
        <v>1488</v>
      </c>
    </row>
    <row r="131" spans="1:7" x14ac:dyDescent="0.3">
      <c r="A131" t="s">
        <v>1528</v>
      </c>
      <c r="B131" t="s">
        <v>1132</v>
      </c>
      <c r="C131" t="s">
        <v>30</v>
      </c>
      <c r="D131">
        <v>-11.387295999999999</v>
      </c>
      <c r="E131">
        <v>19.384257999999999</v>
      </c>
      <c r="F131" t="s">
        <v>1492</v>
      </c>
      <c r="G131" t="s">
        <v>1491</v>
      </c>
    </row>
    <row r="132" spans="1:7" x14ac:dyDescent="0.3">
      <c r="A132" t="s">
        <v>1528</v>
      </c>
      <c r="B132" t="s">
        <v>1125</v>
      </c>
      <c r="C132" t="s">
        <v>63</v>
      </c>
      <c r="D132">
        <v>-0.90854400000000002</v>
      </c>
      <c r="E132">
        <v>17.154896999999998</v>
      </c>
      <c r="F132" t="s">
        <v>1492</v>
      </c>
      <c r="G132" t="s">
        <v>1491</v>
      </c>
    </row>
    <row r="133" spans="1:7" x14ac:dyDescent="0.3">
      <c r="A133" t="s">
        <v>1528</v>
      </c>
      <c r="B133" t="s">
        <v>1101</v>
      </c>
      <c r="C133" t="s">
        <v>15</v>
      </c>
      <c r="D133">
        <v>-5.3762689999999997</v>
      </c>
      <c r="E133">
        <v>28.189575999999999</v>
      </c>
      <c r="F133" t="s">
        <v>1487</v>
      </c>
      <c r="G133" t="s">
        <v>1491</v>
      </c>
    </row>
    <row r="134" spans="1:7" x14ac:dyDescent="0.3">
      <c r="A134" t="s">
        <v>1528</v>
      </c>
      <c r="B134" t="s">
        <v>1537</v>
      </c>
      <c r="C134" t="s">
        <v>135</v>
      </c>
      <c r="D134">
        <v>-6.7304589999999997</v>
      </c>
      <c r="E134">
        <v>24.541906999999998</v>
      </c>
      <c r="F134" t="s">
        <v>1490</v>
      </c>
      <c r="G134" t="s">
        <v>1500</v>
      </c>
    </row>
    <row r="135" spans="1:7" x14ac:dyDescent="0.3">
      <c r="A135" t="s">
        <v>1528</v>
      </c>
      <c r="B135" t="s">
        <v>1475</v>
      </c>
      <c r="C135" t="s">
        <v>15</v>
      </c>
      <c r="D135">
        <v>-7.2267089999999996</v>
      </c>
      <c r="E135">
        <v>28.421362999999999</v>
      </c>
      <c r="F135" t="s">
        <v>1487</v>
      </c>
      <c r="G135" t="s">
        <v>1488</v>
      </c>
    </row>
    <row r="136" spans="1:7" x14ac:dyDescent="0.3">
      <c r="A136" t="s">
        <v>1528</v>
      </c>
      <c r="B136" t="s">
        <v>943</v>
      </c>
      <c r="C136" t="s">
        <v>129</v>
      </c>
      <c r="D136">
        <v>-2.3102109999999998</v>
      </c>
      <c r="E136">
        <v>12.362488000000001</v>
      </c>
      <c r="F136" t="s">
        <v>1487</v>
      </c>
      <c r="G136" t="s">
        <v>1500</v>
      </c>
    </row>
    <row r="137" spans="1:7" x14ac:dyDescent="0.3">
      <c r="A137" t="s">
        <v>1528</v>
      </c>
      <c r="B137" t="s">
        <v>1035</v>
      </c>
      <c r="C137" t="s">
        <v>61</v>
      </c>
      <c r="D137">
        <v>-12.564277000000001</v>
      </c>
      <c r="E137">
        <v>28.480798</v>
      </c>
      <c r="F137" t="s">
        <v>1487</v>
      </c>
      <c r="G137" t="s">
        <v>1493</v>
      </c>
    </row>
    <row r="138" spans="1:7" x14ac:dyDescent="0.3">
      <c r="A138" t="s">
        <v>1528</v>
      </c>
      <c r="B138" t="s">
        <v>1429</v>
      </c>
      <c r="C138" t="s">
        <v>34</v>
      </c>
      <c r="D138">
        <v>-7.513261</v>
      </c>
      <c r="E138">
        <v>24.338812000000001</v>
      </c>
      <c r="F138" t="s">
        <v>1487</v>
      </c>
      <c r="G138" t="s">
        <v>1491</v>
      </c>
    </row>
    <row r="139" spans="1:7" x14ac:dyDescent="0.3">
      <c r="A139" t="s">
        <v>1528</v>
      </c>
      <c r="B139" t="s">
        <v>1228</v>
      </c>
      <c r="C139" t="s">
        <v>72</v>
      </c>
      <c r="D139">
        <v>4.7777349999999998</v>
      </c>
      <c r="E139">
        <v>16.392204</v>
      </c>
      <c r="F139" t="s">
        <v>1487</v>
      </c>
      <c r="G139" t="s">
        <v>1493</v>
      </c>
    </row>
    <row r="140" spans="1:7" x14ac:dyDescent="0.3">
      <c r="A140" t="s">
        <v>1528</v>
      </c>
      <c r="B140" t="s">
        <v>1538</v>
      </c>
      <c r="C140" t="s">
        <v>61</v>
      </c>
      <c r="D140">
        <v>-1.9080220000000001</v>
      </c>
      <c r="E140">
        <v>19.233322999999999</v>
      </c>
      <c r="F140" t="s">
        <v>1492</v>
      </c>
      <c r="G140" t="s">
        <v>1488</v>
      </c>
    </row>
    <row r="141" spans="1:7" x14ac:dyDescent="0.3">
      <c r="A141" t="s">
        <v>1528</v>
      </c>
      <c r="B141" t="s">
        <v>1279</v>
      </c>
      <c r="C141" t="s">
        <v>77</v>
      </c>
      <c r="D141">
        <v>4.8228650000000002</v>
      </c>
      <c r="E141">
        <v>30.555627000000001</v>
      </c>
      <c r="F141" t="s">
        <v>1490</v>
      </c>
      <c r="G141" t="s">
        <v>1491</v>
      </c>
    </row>
    <row r="142" spans="1:7" x14ac:dyDescent="0.3">
      <c r="A142" t="s">
        <v>1528</v>
      </c>
      <c r="B142" t="s">
        <v>917</v>
      </c>
      <c r="C142" t="s">
        <v>59</v>
      </c>
      <c r="D142">
        <v>-5.0402180000000003</v>
      </c>
      <c r="E142">
        <v>13.892471</v>
      </c>
      <c r="F142" t="s">
        <v>1492</v>
      </c>
      <c r="G142" t="s">
        <v>1493</v>
      </c>
    </row>
    <row r="143" spans="1:7" x14ac:dyDescent="0.3">
      <c r="A143" t="s">
        <v>1528</v>
      </c>
      <c r="B143" t="s">
        <v>806</v>
      </c>
      <c r="C143" t="s">
        <v>87</v>
      </c>
      <c r="D143">
        <v>-10.375266999999999</v>
      </c>
      <c r="E143">
        <v>17.993663000000002</v>
      </c>
      <c r="F143" t="s">
        <v>1487</v>
      </c>
      <c r="G143" t="s">
        <v>1493</v>
      </c>
    </row>
    <row r="144" spans="1:7" x14ac:dyDescent="0.3">
      <c r="A144" t="s">
        <v>1528</v>
      </c>
      <c r="B144" t="s">
        <v>1216</v>
      </c>
      <c r="C144" t="s">
        <v>43</v>
      </c>
      <c r="D144">
        <v>-12.192204</v>
      </c>
      <c r="E144">
        <v>28.468682000000001</v>
      </c>
      <c r="F144" t="s">
        <v>1492</v>
      </c>
      <c r="G144" t="s">
        <v>1493</v>
      </c>
    </row>
    <row r="145" spans="1:7" x14ac:dyDescent="0.3">
      <c r="A145" t="s">
        <v>1528</v>
      </c>
      <c r="B145" t="s">
        <v>1157</v>
      </c>
      <c r="C145" t="s">
        <v>77</v>
      </c>
      <c r="D145">
        <v>1.727095</v>
      </c>
      <c r="E145">
        <v>22.099651999999999</v>
      </c>
      <c r="F145" t="s">
        <v>1490</v>
      </c>
      <c r="G145" t="s">
        <v>1491</v>
      </c>
    </row>
    <row r="146" spans="1:7" x14ac:dyDescent="0.3">
      <c r="A146" t="s">
        <v>1528</v>
      </c>
      <c r="B146" t="s">
        <v>1539</v>
      </c>
      <c r="C146" t="s">
        <v>72</v>
      </c>
      <c r="D146">
        <v>-9.4056660000000001</v>
      </c>
      <c r="E146">
        <v>15.541930000000001</v>
      </c>
      <c r="F146" t="s">
        <v>1490</v>
      </c>
      <c r="G146" t="s">
        <v>1491</v>
      </c>
    </row>
    <row r="147" spans="1:7" x14ac:dyDescent="0.3">
      <c r="A147" t="s">
        <v>1528</v>
      </c>
      <c r="B147" t="s">
        <v>1540</v>
      </c>
      <c r="C147" t="s">
        <v>36</v>
      </c>
      <c r="D147">
        <v>-6.2712260000000004</v>
      </c>
      <c r="E147">
        <v>21.512366</v>
      </c>
      <c r="F147" t="s">
        <v>1487</v>
      </c>
      <c r="G147" t="s">
        <v>1491</v>
      </c>
    </row>
    <row r="148" spans="1:7" x14ac:dyDescent="0.3">
      <c r="A148" t="s">
        <v>1528</v>
      </c>
      <c r="B148" t="s">
        <v>995</v>
      </c>
      <c r="C148" t="s">
        <v>56</v>
      </c>
      <c r="D148">
        <v>0.639208</v>
      </c>
      <c r="E148">
        <v>20.701739</v>
      </c>
      <c r="F148" t="s">
        <v>1490</v>
      </c>
      <c r="G148" t="s">
        <v>1491</v>
      </c>
    </row>
    <row r="149" spans="1:7" x14ac:dyDescent="0.3">
      <c r="A149" t="s">
        <v>1528</v>
      </c>
      <c r="B149" t="s">
        <v>1541</v>
      </c>
      <c r="C149" t="s">
        <v>43</v>
      </c>
      <c r="D149">
        <v>2.349755</v>
      </c>
      <c r="E149">
        <v>29.600649000000001</v>
      </c>
      <c r="F149" t="s">
        <v>1490</v>
      </c>
      <c r="G149" t="s">
        <v>1500</v>
      </c>
    </row>
    <row r="150" spans="1:7" x14ac:dyDescent="0.3">
      <c r="A150" t="s">
        <v>1528</v>
      </c>
      <c r="B150" t="s">
        <v>1404</v>
      </c>
      <c r="C150" t="s">
        <v>61</v>
      </c>
      <c r="D150">
        <v>-10.977309</v>
      </c>
      <c r="E150">
        <v>12.408281000000001</v>
      </c>
      <c r="F150" t="s">
        <v>1487</v>
      </c>
      <c r="G150" t="s">
        <v>1493</v>
      </c>
    </row>
    <row r="151" spans="1:7" x14ac:dyDescent="0.3">
      <c r="A151" t="s">
        <v>1528</v>
      </c>
      <c r="B151" t="s">
        <v>1542</v>
      </c>
      <c r="C151" t="s">
        <v>12</v>
      </c>
      <c r="D151">
        <v>-12.018316</v>
      </c>
      <c r="E151">
        <v>16.700451000000001</v>
      </c>
      <c r="F151" t="s">
        <v>1492</v>
      </c>
      <c r="G151" t="s">
        <v>1500</v>
      </c>
    </row>
    <row r="152" spans="1:7" x14ac:dyDescent="0.3">
      <c r="A152" t="s">
        <v>1543</v>
      </c>
      <c r="B152" t="s">
        <v>1187</v>
      </c>
      <c r="C152" t="s">
        <v>56</v>
      </c>
      <c r="D152">
        <v>-1.648326</v>
      </c>
      <c r="E152">
        <v>25.528901999999999</v>
      </c>
      <c r="F152" t="s">
        <v>1490</v>
      </c>
      <c r="G152" t="s">
        <v>1491</v>
      </c>
    </row>
    <row r="153" spans="1:7" x14ac:dyDescent="0.3">
      <c r="A153" t="s">
        <v>1543</v>
      </c>
      <c r="B153" t="s">
        <v>980</v>
      </c>
      <c r="C153" t="s">
        <v>17</v>
      </c>
      <c r="D153">
        <v>-12.112682</v>
      </c>
      <c r="E153">
        <v>19.972052000000001</v>
      </c>
      <c r="F153" t="s">
        <v>1490</v>
      </c>
      <c r="G153" t="s">
        <v>1491</v>
      </c>
    </row>
    <row r="154" spans="1:7" x14ac:dyDescent="0.3">
      <c r="A154" t="s">
        <v>1543</v>
      </c>
      <c r="B154" t="s">
        <v>1366</v>
      </c>
      <c r="C154" t="s">
        <v>12</v>
      </c>
      <c r="D154">
        <v>-7.7587710000000003</v>
      </c>
      <c r="E154">
        <v>17.880848</v>
      </c>
      <c r="F154" t="s">
        <v>1492</v>
      </c>
      <c r="G154" t="s">
        <v>1488</v>
      </c>
    </row>
    <row r="155" spans="1:7" x14ac:dyDescent="0.3">
      <c r="A155" t="s">
        <v>1543</v>
      </c>
      <c r="B155" t="s">
        <v>1183</v>
      </c>
      <c r="C155" t="s">
        <v>32</v>
      </c>
      <c r="D155">
        <v>-5.8352820000000003</v>
      </c>
      <c r="E155">
        <v>26.603978000000001</v>
      </c>
      <c r="F155" t="s">
        <v>1490</v>
      </c>
      <c r="G155" t="s">
        <v>1491</v>
      </c>
    </row>
    <row r="156" spans="1:7" x14ac:dyDescent="0.3">
      <c r="A156" t="s">
        <v>1543</v>
      </c>
      <c r="B156" t="s">
        <v>1544</v>
      </c>
      <c r="C156" t="s">
        <v>135</v>
      </c>
      <c r="D156">
        <v>-7.5180249999999997</v>
      </c>
      <c r="E156">
        <v>20.478905999999998</v>
      </c>
      <c r="F156" t="s">
        <v>1487</v>
      </c>
      <c r="G156" t="s">
        <v>1500</v>
      </c>
    </row>
    <row r="157" spans="1:7" x14ac:dyDescent="0.3">
      <c r="A157" t="s">
        <v>1543</v>
      </c>
      <c r="B157" t="s">
        <v>1204</v>
      </c>
      <c r="C157" t="s">
        <v>32</v>
      </c>
      <c r="D157">
        <v>1.897178</v>
      </c>
      <c r="E157">
        <v>23.902604</v>
      </c>
      <c r="F157" t="s">
        <v>1492</v>
      </c>
      <c r="G157" t="s">
        <v>1500</v>
      </c>
    </row>
    <row r="158" spans="1:7" x14ac:dyDescent="0.3">
      <c r="A158" t="s">
        <v>1543</v>
      </c>
      <c r="B158" t="s">
        <v>1225</v>
      </c>
      <c r="C158" t="s">
        <v>39</v>
      </c>
      <c r="D158">
        <v>-4.6957509999999996</v>
      </c>
      <c r="E158">
        <v>14.233525999999999</v>
      </c>
      <c r="F158" t="s">
        <v>1490</v>
      </c>
      <c r="G158" t="s">
        <v>1500</v>
      </c>
    </row>
    <row r="159" spans="1:7" x14ac:dyDescent="0.3">
      <c r="A159" t="s">
        <v>1543</v>
      </c>
      <c r="B159" t="s">
        <v>1545</v>
      </c>
      <c r="C159" t="s">
        <v>28</v>
      </c>
      <c r="D159">
        <v>-5.3956809999999997</v>
      </c>
      <c r="E159">
        <v>14.49985</v>
      </c>
      <c r="F159" t="s">
        <v>1490</v>
      </c>
      <c r="G159" t="s">
        <v>1493</v>
      </c>
    </row>
    <row r="160" spans="1:7" x14ac:dyDescent="0.3">
      <c r="A160" t="s">
        <v>1543</v>
      </c>
      <c r="B160" t="s">
        <v>1546</v>
      </c>
      <c r="C160" t="s">
        <v>125</v>
      </c>
      <c r="D160">
        <v>-1.9635830000000001</v>
      </c>
      <c r="E160">
        <v>15.854182</v>
      </c>
      <c r="F160" t="s">
        <v>1492</v>
      </c>
      <c r="G160" t="s">
        <v>1500</v>
      </c>
    </row>
    <row r="161" spans="1:7" x14ac:dyDescent="0.3">
      <c r="A161" t="s">
        <v>1543</v>
      </c>
      <c r="B161" t="s">
        <v>1547</v>
      </c>
      <c r="C161" t="s">
        <v>30</v>
      </c>
      <c r="D161">
        <v>-12.01816</v>
      </c>
      <c r="E161">
        <v>23.828645999999999</v>
      </c>
      <c r="F161" t="s">
        <v>1492</v>
      </c>
      <c r="G161" t="s">
        <v>1491</v>
      </c>
    </row>
    <row r="162" spans="1:7" x14ac:dyDescent="0.3">
      <c r="A162" t="s">
        <v>1543</v>
      </c>
      <c r="B162" t="s">
        <v>961</v>
      </c>
      <c r="C162" t="s">
        <v>25</v>
      </c>
      <c r="D162">
        <v>-3.6945459999999999</v>
      </c>
      <c r="E162">
        <v>16.809108999999999</v>
      </c>
      <c r="F162" t="s">
        <v>1487</v>
      </c>
      <c r="G162" t="s">
        <v>1493</v>
      </c>
    </row>
    <row r="163" spans="1:7" x14ac:dyDescent="0.3">
      <c r="A163" t="s">
        <v>1543</v>
      </c>
      <c r="B163" t="s">
        <v>934</v>
      </c>
      <c r="C163" t="s">
        <v>36</v>
      </c>
      <c r="D163">
        <v>-10.439686999999999</v>
      </c>
      <c r="E163">
        <v>20.714210000000001</v>
      </c>
      <c r="F163" t="s">
        <v>1490</v>
      </c>
      <c r="G163" t="s">
        <v>1493</v>
      </c>
    </row>
    <row r="164" spans="1:7" x14ac:dyDescent="0.3">
      <c r="A164" t="s">
        <v>1543</v>
      </c>
      <c r="B164" t="s">
        <v>1260</v>
      </c>
      <c r="C164" t="s">
        <v>77</v>
      </c>
      <c r="D164">
        <v>1.938083</v>
      </c>
      <c r="E164">
        <v>28.25281</v>
      </c>
      <c r="F164" t="s">
        <v>1490</v>
      </c>
      <c r="G164" t="s">
        <v>1500</v>
      </c>
    </row>
    <row r="165" spans="1:7" x14ac:dyDescent="0.3">
      <c r="A165" t="s">
        <v>1543</v>
      </c>
      <c r="B165" t="s">
        <v>1072</v>
      </c>
      <c r="C165" t="s">
        <v>125</v>
      </c>
      <c r="D165">
        <v>-4.869434</v>
      </c>
      <c r="E165">
        <v>22.326522000000001</v>
      </c>
      <c r="F165" t="s">
        <v>1487</v>
      </c>
      <c r="G165" t="s">
        <v>1488</v>
      </c>
    </row>
    <row r="166" spans="1:7" x14ac:dyDescent="0.3">
      <c r="A166" t="s">
        <v>1543</v>
      </c>
      <c r="B166" t="s">
        <v>1548</v>
      </c>
      <c r="C166" t="s">
        <v>56</v>
      </c>
      <c r="D166">
        <v>7.6420000000000004E-3</v>
      </c>
      <c r="E166">
        <v>12.109260000000001</v>
      </c>
      <c r="F166" t="s">
        <v>1490</v>
      </c>
      <c r="G166" t="s">
        <v>1488</v>
      </c>
    </row>
    <row r="167" spans="1:7" x14ac:dyDescent="0.3">
      <c r="A167" t="s">
        <v>1543</v>
      </c>
      <c r="B167" t="s">
        <v>1549</v>
      </c>
      <c r="C167" t="s">
        <v>9</v>
      </c>
      <c r="D167">
        <v>-10.962911</v>
      </c>
      <c r="E167">
        <v>28.771355</v>
      </c>
      <c r="F167" t="s">
        <v>1487</v>
      </c>
      <c r="G167" t="s">
        <v>1491</v>
      </c>
    </row>
    <row r="168" spans="1:7" x14ac:dyDescent="0.3">
      <c r="A168" t="s">
        <v>1543</v>
      </c>
      <c r="B168" t="s">
        <v>892</v>
      </c>
      <c r="C168" t="s">
        <v>129</v>
      </c>
      <c r="D168">
        <v>1.017161</v>
      </c>
      <c r="E168">
        <v>16.519689</v>
      </c>
      <c r="F168" t="s">
        <v>1492</v>
      </c>
      <c r="G168" t="s">
        <v>1500</v>
      </c>
    </row>
    <row r="169" spans="1:7" x14ac:dyDescent="0.3">
      <c r="A169" t="s">
        <v>1543</v>
      </c>
      <c r="B169" t="s">
        <v>1550</v>
      </c>
      <c r="C169" t="s">
        <v>135</v>
      </c>
      <c r="D169">
        <v>3.8811640000000001</v>
      </c>
      <c r="E169">
        <v>23.188383999999999</v>
      </c>
      <c r="F169" t="s">
        <v>1487</v>
      </c>
      <c r="G169" t="s">
        <v>1491</v>
      </c>
    </row>
    <row r="170" spans="1:7" x14ac:dyDescent="0.3">
      <c r="A170" t="s">
        <v>1543</v>
      </c>
      <c r="B170" t="s">
        <v>1359</v>
      </c>
      <c r="C170" t="s">
        <v>61</v>
      </c>
      <c r="D170">
        <v>-0.469945</v>
      </c>
      <c r="E170">
        <v>21.038527999999999</v>
      </c>
      <c r="F170" t="s">
        <v>1492</v>
      </c>
      <c r="G170" t="s">
        <v>1488</v>
      </c>
    </row>
    <row r="171" spans="1:7" x14ac:dyDescent="0.3">
      <c r="A171" t="s">
        <v>1543</v>
      </c>
      <c r="B171" t="s">
        <v>817</v>
      </c>
      <c r="C171" t="s">
        <v>30</v>
      </c>
      <c r="D171">
        <v>-10.56448</v>
      </c>
      <c r="E171">
        <v>19.792876</v>
      </c>
      <c r="F171" t="s">
        <v>1487</v>
      </c>
      <c r="G171" t="s">
        <v>1488</v>
      </c>
    </row>
    <row r="172" spans="1:7" x14ac:dyDescent="0.3">
      <c r="A172" t="s">
        <v>1543</v>
      </c>
      <c r="B172" t="s">
        <v>1399</v>
      </c>
      <c r="C172" t="s">
        <v>17</v>
      </c>
      <c r="D172">
        <v>-5.5559329999999996</v>
      </c>
      <c r="E172">
        <v>13.508692999999999</v>
      </c>
      <c r="F172" t="s">
        <v>1492</v>
      </c>
      <c r="G172" t="s">
        <v>1500</v>
      </c>
    </row>
    <row r="173" spans="1:7" x14ac:dyDescent="0.3">
      <c r="A173" t="s">
        <v>1543</v>
      </c>
      <c r="B173" t="s">
        <v>1551</v>
      </c>
      <c r="C173" t="s">
        <v>129</v>
      </c>
      <c r="D173">
        <v>-4.884055</v>
      </c>
      <c r="E173">
        <v>23.40194</v>
      </c>
      <c r="F173" t="s">
        <v>1492</v>
      </c>
      <c r="G173" t="s">
        <v>1488</v>
      </c>
    </row>
    <row r="174" spans="1:7" x14ac:dyDescent="0.3">
      <c r="A174" t="s">
        <v>1543</v>
      </c>
      <c r="B174" t="s">
        <v>1552</v>
      </c>
      <c r="C174" t="s">
        <v>17</v>
      </c>
      <c r="D174">
        <v>-9.7801860000000005</v>
      </c>
      <c r="E174">
        <v>16.649550000000001</v>
      </c>
      <c r="F174" t="s">
        <v>1487</v>
      </c>
      <c r="G174" t="s">
        <v>1488</v>
      </c>
    </row>
    <row r="175" spans="1:7" x14ac:dyDescent="0.3">
      <c r="A175" t="s">
        <v>1543</v>
      </c>
      <c r="B175" t="s">
        <v>950</v>
      </c>
      <c r="C175" t="s">
        <v>77</v>
      </c>
      <c r="D175">
        <v>-2.3743210000000001</v>
      </c>
      <c r="E175">
        <v>22.399491000000001</v>
      </c>
      <c r="F175" t="s">
        <v>1487</v>
      </c>
      <c r="G175" t="s">
        <v>1488</v>
      </c>
    </row>
    <row r="176" spans="1:7" x14ac:dyDescent="0.3">
      <c r="A176" t="s">
        <v>1543</v>
      </c>
      <c r="B176" t="s">
        <v>1329</v>
      </c>
      <c r="C176" t="s">
        <v>129</v>
      </c>
      <c r="D176">
        <v>-0.17258100000000001</v>
      </c>
      <c r="E176">
        <v>23.775555000000001</v>
      </c>
      <c r="F176" t="s">
        <v>1487</v>
      </c>
      <c r="G176" t="s">
        <v>1500</v>
      </c>
    </row>
    <row r="177" spans="1:7" x14ac:dyDescent="0.3">
      <c r="A177" t="s">
        <v>1543</v>
      </c>
      <c r="B177" t="s">
        <v>880</v>
      </c>
      <c r="C177" t="s">
        <v>30</v>
      </c>
      <c r="D177">
        <v>-9.3652239999999995</v>
      </c>
      <c r="E177">
        <v>22.593423999999999</v>
      </c>
      <c r="F177" t="s">
        <v>1487</v>
      </c>
      <c r="G177" t="s">
        <v>1500</v>
      </c>
    </row>
    <row r="178" spans="1:7" x14ac:dyDescent="0.3">
      <c r="A178" t="s">
        <v>1543</v>
      </c>
      <c r="B178" t="s">
        <v>1196</v>
      </c>
      <c r="C178" t="s">
        <v>17</v>
      </c>
      <c r="D178">
        <v>-4.8157019999999999</v>
      </c>
      <c r="E178">
        <v>27.679798000000002</v>
      </c>
      <c r="F178" t="s">
        <v>1492</v>
      </c>
      <c r="G178" t="s">
        <v>1488</v>
      </c>
    </row>
    <row r="179" spans="1:7" x14ac:dyDescent="0.3">
      <c r="A179" t="s">
        <v>1543</v>
      </c>
      <c r="B179" t="s">
        <v>1263</v>
      </c>
      <c r="C179" t="s">
        <v>87</v>
      </c>
      <c r="D179">
        <v>-8.4985189999999999</v>
      </c>
      <c r="E179">
        <v>12.929456999999999</v>
      </c>
      <c r="F179" t="s">
        <v>1490</v>
      </c>
      <c r="G179" t="s">
        <v>1488</v>
      </c>
    </row>
    <row r="180" spans="1:7" x14ac:dyDescent="0.3">
      <c r="A180" t="s">
        <v>1543</v>
      </c>
      <c r="B180" t="s">
        <v>1452</v>
      </c>
      <c r="C180" t="s">
        <v>30</v>
      </c>
      <c r="D180">
        <v>-0.54908599999999996</v>
      </c>
      <c r="E180">
        <v>14.816867</v>
      </c>
      <c r="F180" t="s">
        <v>1487</v>
      </c>
      <c r="G180" t="s">
        <v>1493</v>
      </c>
    </row>
    <row r="181" spans="1:7" x14ac:dyDescent="0.3">
      <c r="A181" t="s">
        <v>1543</v>
      </c>
      <c r="B181" t="s">
        <v>989</v>
      </c>
      <c r="C181" t="s">
        <v>59</v>
      </c>
      <c r="D181">
        <v>3.3289240000000002</v>
      </c>
      <c r="E181">
        <v>24.412261000000001</v>
      </c>
      <c r="F181" t="s">
        <v>1487</v>
      </c>
      <c r="G181" t="s">
        <v>1500</v>
      </c>
    </row>
    <row r="182" spans="1:7" x14ac:dyDescent="0.3">
      <c r="A182" t="s">
        <v>1543</v>
      </c>
      <c r="B182" t="s">
        <v>1553</v>
      </c>
      <c r="C182" t="s">
        <v>72</v>
      </c>
      <c r="D182">
        <v>1.3367519999999999</v>
      </c>
      <c r="E182">
        <v>12.697699999999999</v>
      </c>
      <c r="F182" t="s">
        <v>1487</v>
      </c>
      <c r="G182" t="s">
        <v>1491</v>
      </c>
    </row>
    <row r="183" spans="1:7" x14ac:dyDescent="0.3">
      <c r="A183" t="s">
        <v>1543</v>
      </c>
      <c r="B183" t="s">
        <v>1554</v>
      </c>
      <c r="C183" t="s">
        <v>15</v>
      </c>
      <c r="D183">
        <v>-6.9254999999999997E-2</v>
      </c>
      <c r="E183">
        <v>28.222756</v>
      </c>
      <c r="F183" t="s">
        <v>1487</v>
      </c>
      <c r="G183" t="s">
        <v>1491</v>
      </c>
    </row>
    <row r="184" spans="1:7" x14ac:dyDescent="0.3">
      <c r="A184" t="s">
        <v>1543</v>
      </c>
      <c r="B184" t="s">
        <v>831</v>
      </c>
      <c r="C184" t="s">
        <v>36</v>
      </c>
      <c r="D184">
        <v>-10.776204</v>
      </c>
      <c r="E184">
        <v>24.672934000000001</v>
      </c>
      <c r="F184" t="s">
        <v>1490</v>
      </c>
      <c r="G184" t="s">
        <v>1488</v>
      </c>
    </row>
    <row r="185" spans="1:7" x14ac:dyDescent="0.3">
      <c r="A185" t="s">
        <v>1543</v>
      </c>
      <c r="B185" t="s">
        <v>1289</v>
      </c>
      <c r="C185" t="s">
        <v>23</v>
      </c>
      <c r="D185">
        <v>-10.945031</v>
      </c>
      <c r="E185">
        <v>27.922274000000002</v>
      </c>
      <c r="F185" t="s">
        <v>1490</v>
      </c>
      <c r="G185" t="s">
        <v>1488</v>
      </c>
    </row>
    <row r="186" spans="1:7" x14ac:dyDescent="0.3">
      <c r="A186" t="s">
        <v>1543</v>
      </c>
      <c r="B186" t="s">
        <v>1555</v>
      </c>
      <c r="C186" t="s">
        <v>61</v>
      </c>
      <c r="D186">
        <v>-4.9108280000000004</v>
      </c>
      <c r="E186">
        <v>17.670389</v>
      </c>
      <c r="F186" t="s">
        <v>1487</v>
      </c>
      <c r="G186" t="s">
        <v>1493</v>
      </c>
    </row>
    <row r="187" spans="1:7" x14ac:dyDescent="0.3">
      <c r="A187" t="s">
        <v>1543</v>
      </c>
      <c r="B187" t="s">
        <v>1365</v>
      </c>
      <c r="C187" t="s">
        <v>72</v>
      </c>
      <c r="D187">
        <v>-6.4670189999999996</v>
      </c>
      <c r="E187">
        <v>29.487309</v>
      </c>
      <c r="F187" t="s">
        <v>1490</v>
      </c>
      <c r="G187" t="s">
        <v>1493</v>
      </c>
    </row>
    <row r="188" spans="1:7" x14ac:dyDescent="0.3">
      <c r="A188" t="s">
        <v>1543</v>
      </c>
      <c r="B188" t="s">
        <v>1556</v>
      </c>
      <c r="C188" t="s">
        <v>50</v>
      </c>
      <c r="D188">
        <v>-3.571288</v>
      </c>
      <c r="E188">
        <v>12.931596000000001</v>
      </c>
      <c r="F188" t="s">
        <v>1490</v>
      </c>
      <c r="G188" t="s">
        <v>1500</v>
      </c>
    </row>
    <row r="189" spans="1:7" x14ac:dyDescent="0.3">
      <c r="A189" t="s">
        <v>1543</v>
      </c>
      <c r="B189" t="s">
        <v>1557</v>
      </c>
      <c r="C189" t="s">
        <v>125</v>
      </c>
      <c r="D189">
        <v>-6.0864269999999996</v>
      </c>
      <c r="E189">
        <v>19.922181999999999</v>
      </c>
      <c r="F189" t="s">
        <v>1487</v>
      </c>
      <c r="G189" t="s">
        <v>1491</v>
      </c>
    </row>
    <row r="190" spans="1:7" x14ac:dyDescent="0.3">
      <c r="A190" t="s">
        <v>1543</v>
      </c>
      <c r="B190" t="s">
        <v>1264</v>
      </c>
      <c r="C190" t="s">
        <v>125</v>
      </c>
      <c r="D190">
        <v>1.2391989999999999</v>
      </c>
      <c r="E190">
        <v>15.386718999999999</v>
      </c>
      <c r="F190" t="s">
        <v>1487</v>
      </c>
      <c r="G190" t="s">
        <v>1493</v>
      </c>
    </row>
    <row r="191" spans="1:7" x14ac:dyDescent="0.3">
      <c r="A191" t="s">
        <v>1543</v>
      </c>
      <c r="B191" t="s">
        <v>1558</v>
      </c>
      <c r="C191" t="s">
        <v>61</v>
      </c>
      <c r="D191">
        <v>-3.7900040000000002</v>
      </c>
      <c r="E191">
        <v>24.769718999999998</v>
      </c>
      <c r="F191" t="s">
        <v>1487</v>
      </c>
      <c r="G191" t="s">
        <v>1491</v>
      </c>
    </row>
    <row r="192" spans="1:7" x14ac:dyDescent="0.3">
      <c r="A192" t="s">
        <v>1543</v>
      </c>
      <c r="B192" t="s">
        <v>1559</v>
      </c>
      <c r="C192" t="s">
        <v>56</v>
      </c>
      <c r="D192">
        <v>4.0955700000000004</v>
      </c>
      <c r="E192">
        <v>23.610704999999999</v>
      </c>
      <c r="F192" t="s">
        <v>1490</v>
      </c>
      <c r="G192" t="s">
        <v>1493</v>
      </c>
    </row>
    <row r="193" spans="1:7" x14ac:dyDescent="0.3">
      <c r="A193" t="s">
        <v>1543</v>
      </c>
      <c r="B193" t="s">
        <v>824</v>
      </c>
      <c r="C193" t="s">
        <v>72</v>
      </c>
      <c r="D193">
        <v>-6.1837850000000003</v>
      </c>
      <c r="E193">
        <v>25.138759</v>
      </c>
      <c r="F193" t="s">
        <v>1492</v>
      </c>
      <c r="G193" t="s">
        <v>1488</v>
      </c>
    </row>
    <row r="194" spans="1:7" x14ac:dyDescent="0.3">
      <c r="A194" t="s">
        <v>1543</v>
      </c>
      <c r="B194" t="s">
        <v>1262</v>
      </c>
      <c r="C194" t="s">
        <v>59</v>
      </c>
      <c r="D194">
        <v>-6.1490739999999997</v>
      </c>
      <c r="E194">
        <v>23.304411000000002</v>
      </c>
      <c r="F194" t="s">
        <v>1487</v>
      </c>
      <c r="G194" t="s">
        <v>1493</v>
      </c>
    </row>
    <row r="195" spans="1:7" x14ac:dyDescent="0.3">
      <c r="A195" t="s">
        <v>1543</v>
      </c>
      <c r="B195" t="s">
        <v>857</v>
      </c>
      <c r="C195" t="s">
        <v>129</v>
      </c>
      <c r="D195">
        <v>0.82868600000000003</v>
      </c>
      <c r="E195">
        <v>26.958843999999999</v>
      </c>
      <c r="F195" t="s">
        <v>1487</v>
      </c>
      <c r="G195" t="s">
        <v>1493</v>
      </c>
    </row>
    <row r="196" spans="1:7" x14ac:dyDescent="0.3">
      <c r="A196" t="s">
        <v>1543</v>
      </c>
      <c r="B196" t="s">
        <v>1560</v>
      </c>
      <c r="C196" t="s">
        <v>17</v>
      </c>
      <c r="D196">
        <v>3.42055</v>
      </c>
      <c r="E196">
        <v>15.370965999999999</v>
      </c>
      <c r="F196" t="s">
        <v>1490</v>
      </c>
      <c r="G196" t="s">
        <v>1500</v>
      </c>
    </row>
    <row r="197" spans="1:7" x14ac:dyDescent="0.3">
      <c r="A197" t="s">
        <v>1543</v>
      </c>
      <c r="B197" t="s">
        <v>799</v>
      </c>
      <c r="C197" t="s">
        <v>61</v>
      </c>
      <c r="D197">
        <v>-2.8211520000000001</v>
      </c>
      <c r="E197">
        <v>20.651419000000001</v>
      </c>
      <c r="F197" t="s">
        <v>1487</v>
      </c>
      <c r="G197" t="s">
        <v>1488</v>
      </c>
    </row>
    <row r="198" spans="1:7" x14ac:dyDescent="0.3">
      <c r="A198" t="s">
        <v>1543</v>
      </c>
      <c r="B198" t="s">
        <v>1207</v>
      </c>
      <c r="C198" t="s">
        <v>59</v>
      </c>
      <c r="D198">
        <v>-1.1284540000000001</v>
      </c>
      <c r="E198">
        <v>23.000360000000001</v>
      </c>
      <c r="F198" t="s">
        <v>1487</v>
      </c>
      <c r="G198" t="s">
        <v>1488</v>
      </c>
    </row>
    <row r="199" spans="1:7" x14ac:dyDescent="0.3">
      <c r="A199" t="s">
        <v>1543</v>
      </c>
      <c r="B199" t="s">
        <v>1418</v>
      </c>
      <c r="C199" t="s">
        <v>129</v>
      </c>
      <c r="D199">
        <v>-10.298385</v>
      </c>
      <c r="E199">
        <v>29.698117</v>
      </c>
      <c r="F199" t="s">
        <v>1487</v>
      </c>
      <c r="G199" t="s">
        <v>1500</v>
      </c>
    </row>
    <row r="200" spans="1:7" x14ac:dyDescent="0.3">
      <c r="A200" t="s">
        <v>1543</v>
      </c>
      <c r="B200" t="s">
        <v>1561</v>
      </c>
      <c r="C200" t="s">
        <v>72</v>
      </c>
      <c r="D200">
        <v>2.6387339999999999</v>
      </c>
      <c r="E200">
        <v>13.769399</v>
      </c>
      <c r="F200" t="s">
        <v>1490</v>
      </c>
      <c r="G200" t="s">
        <v>1491</v>
      </c>
    </row>
    <row r="201" spans="1:7" x14ac:dyDescent="0.3">
      <c r="A201" t="s">
        <v>1543</v>
      </c>
      <c r="B201" t="s">
        <v>932</v>
      </c>
      <c r="C201" t="s">
        <v>135</v>
      </c>
      <c r="D201">
        <v>-9.7803979999999999</v>
      </c>
      <c r="E201">
        <v>17.686595000000001</v>
      </c>
      <c r="F201" t="s">
        <v>1490</v>
      </c>
      <c r="G201" t="s">
        <v>1488</v>
      </c>
    </row>
    <row r="202" spans="1:7" x14ac:dyDescent="0.3">
      <c r="A202" t="s">
        <v>1562</v>
      </c>
      <c r="B202" t="s">
        <v>1563</v>
      </c>
      <c r="C202" t="s">
        <v>20</v>
      </c>
      <c r="D202">
        <v>-6.8779139999999996</v>
      </c>
      <c r="E202">
        <v>12.550860999999999</v>
      </c>
      <c r="F202" t="s">
        <v>1487</v>
      </c>
      <c r="G202" t="s">
        <v>1493</v>
      </c>
    </row>
    <row r="203" spans="1:7" x14ac:dyDescent="0.3">
      <c r="A203" t="s">
        <v>1562</v>
      </c>
      <c r="B203" t="s">
        <v>1564</v>
      </c>
      <c r="C203" t="s">
        <v>39</v>
      </c>
      <c r="D203">
        <v>-4.2975050000000001</v>
      </c>
      <c r="E203">
        <v>29.162555999999999</v>
      </c>
      <c r="F203" t="s">
        <v>1487</v>
      </c>
      <c r="G203" t="s">
        <v>1488</v>
      </c>
    </row>
    <row r="204" spans="1:7" x14ac:dyDescent="0.3">
      <c r="A204" t="s">
        <v>1562</v>
      </c>
      <c r="B204" t="s">
        <v>1565</v>
      </c>
      <c r="C204" t="s">
        <v>43</v>
      </c>
      <c r="D204">
        <v>2.7298239999999998</v>
      </c>
      <c r="E204">
        <v>12.958664000000001</v>
      </c>
      <c r="F204" t="s">
        <v>1492</v>
      </c>
      <c r="G204" t="s">
        <v>1493</v>
      </c>
    </row>
    <row r="205" spans="1:7" x14ac:dyDescent="0.3">
      <c r="A205" t="s">
        <v>1562</v>
      </c>
      <c r="B205" t="s">
        <v>1566</v>
      </c>
      <c r="C205" t="s">
        <v>66</v>
      </c>
      <c r="D205">
        <v>-7.4135429999999998</v>
      </c>
      <c r="E205">
        <v>19.288392999999999</v>
      </c>
      <c r="F205" t="s">
        <v>1490</v>
      </c>
      <c r="G205" t="s">
        <v>1500</v>
      </c>
    </row>
    <row r="206" spans="1:7" x14ac:dyDescent="0.3">
      <c r="A206" t="s">
        <v>1562</v>
      </c>
      <c r="B206" t="s">
        <v>1427</v>
      </c>
      <c r="C206" t="s">
        <v>63</v>
      </c>
      <c r="D206">
        <v>-7.1079169999999996</v>
      </c>
      <c r="E206">
        <v>13.636272</v>
      </c>
      <c r="F206" t="s">
        <v>1487</v>
      </c>
      <c r="G206" t="s">
        <v>1500</v>
      </c>
    </row>
    <row r="207" spans="1:7" x14ac:dyDescent="0.3">
      <c r="A207" t="s">
        <v>1562</v>
      </c>
      <c r="B207" t="s">
        <v>1567</v>
      </c>
      <c r="C207" t="s">
        <v>77</v>
      </c>
      <c r="D207">
        <v>0.850665</v>
      </c>
      <c r="E207">
        <v>19.446418000000001</v>
      </c>
      <c r="F207" t="s">
        <v>1490</v>
      </c>
      <c r="G207" t="s">
        <v>1491</v>
      </c>
    </row>
    <row r="208" spans="1:7" x14ac:dyDescent="0.3">
      <c r="A208" t="s">
        <v>1562</v>
      </c>
      <c r="B208" t="s">
        <v>1335</v>
      </c>
      <c r="C208" t="s">
        <v>129</v>
      </c>
      <c r="D208">
        <v>-11.231472</v>
      </c>
      <c r="E208">
        <v>25.388874000000001</v>
      </c>
      <c r="F208" t="s">
        <v>1490</v>
      </c>
      <c r="G208" t="s">
        <v>1491</v>
      </c>
    </row>
    <row r="209" spans="1:7" x14ac:dyDescent="0.3">
      <c r="A209" t="s">
        <v>1562</v>
      </c>
      <c r="B209" t="s">
        <v>1086</v>
      </c>
      <c r="C209" t="s">
        <v>15</v>
      </c>
      <c r="D209">
        <v>4.6809229999999999</v>
      </c>
      <c r="E209">
        <v>28.934242000000001</v>
      </c>
      <c r="F209" t="s">
        <v>1487</v>
      </c>
      <c r="G209" t="s">
        <v>1500</v>
      </c>
    </row>
    <row r="210" spans="1:7" x14ac:dyDescent="0.3">
      <c r="A210" t="s">
        <v>1562</v>
      </c>
      <c r="B210" t="s">
        <v>1568</v>
      </c>
      <c r="C210" t="s">
        <v>59</v>
      </c>
      <c r="D210">
        <v>-3.7093609999999999</v>
      </c>
      <c r="E210">
        <v>23.959942999999999</v>
      </c>
      <c r="F210" t="s">
        <v>1490</v>
      </c>
      <c r="G210" t="s">
        <v>1491</v>
      </c>
    </row>
    <row r="211" spans="1:7" x14ac:dyDescent="0.3">
      <c r="A211" t="s">
        <v>1562</v>
      </c>
      <c r="B211" t="s">
        <v>1140</v>
      </c>
      <c r="C211" t="s">
        <v>28</v>
      </c>
      <c r="D211">
        <v>4.8689660000000003</v>
      </c>
      <c r="E211">
        <v>25.112373000000002</v>
      </c>
      <c r="F211" t="s">
        <v>1492</v>
      </c>
      <c r="G211" t="s">
        <v>1491</v>
      </c>
    </row>
    <row r="212" spans="1:7" x14ac:dyDescent="0.3">
      <c r="A212" t="s">
        <v>1562</v>
      </c>
      <c r="B212" t="s">
        <v>876</v>
      </c>
      <c r="C212" t="s">
        <v>87</v>
      </c>
      <c r="D212">
        <v>-9.3066320000000005</v>
      </c>
      <c r="E212">
        <v>20.470889</v>
      </c>
      <c r="F212" t="s">
        <v>1487</v>
      </c>
      <c r="G212" t="s">
        <v>1493</v>
      </c>
    </row>
    <row r="213" spans="1:7" x14ac:dyDescent="0.3">
      <c r="A213" t="s">
        <v>1562</v>
      </c>
      <c r="B213" t="s">
        <v>1001</v>
      </c>
      <c r="C213" t="s">
        <v>30</v>
      </c>
      <c r="D213">
        <v>-12.342053999999999</v>
      </c>
      <c r="E213">
        <v>18.756862000000002</v>
      </c>
      <c r="F213" t="s">
        <v>1492</v>
      </c>
      <c r="G213" t="s">
        <v>1488</v>
      </c>
    </row>
    <row r="214" spans="1:7" x14ac:dyDescent="0.3">
      <c r="A214" t="s">
        <v>1562</v>
      </c>
      <c r="B214" t="s">
        <v>1569</v>
      </c>
      <c r="C214" t="s">
        <v>129</v>
      </c>
      <c r="D214">
        <v>-6.0234120000000004</v>
      </c>
      <c r="E214">
        <v>18.314309999999999</v>
      </c>
      <c r="F214" t="s">
        <v>1487</v>
      </c>
      <c r="G214" t="s">
        <v>1493</v>
      </c>
    </row>
    <row r="215" spans="1:7" x14ac:dyDescent="0.3">
      <c r="A215" t="s">
        <v>1562</v>
      </c>
      <c r="B215" t="s">
        <v>1393</v>
      </c>
      <c r="C215" t="s">
        <v>28</v>
      </c>
      <c r="D215">
        <v>2.5665840000000002</v>
      </c>
      <c r="E215">
        <v>15.764796</v>
      </c>
      <c r="F215" t="s">
        <v>1492</v>
      </c>
      <c r="G215" t="s">
        <v>1493</v>
      </c>
    </row>
    <row r="216" spans="1:7" x14ac:dyDescent="0.3">
      <c r="A216" t="s">
        <v>1562</v>
      </c>
      <c r="B216" t="s">
        <v>870</v>
      </c>
      <c r="C216" t="s">
        <v>30</v>
      </c>
      <c r="D216">
        <v>-10.914952</v>
      </c>
      <c r="E216">
        <v>26.409648000000001</v>
      </c>
      <c r="F216" t="s">
        <v>1490</v>
      </c>
      <c r="G216" t="s">
        <v>1491</v>
      </c>
    </row>
    <row r="217" spans="1:7" x14ac:dyDescent="0.3">
      <c r="A217" t="s">
        <v>1562</v>
      </c>
      <c r="B217" t="s">
        <v>1288</v>
      </c>
      <c r="C217" t="s">
        <v>50</v>
      </c>
      <c r="D217">
        <v>-7.402336</v>
      </c>
      <c r="E217">
        <v>27.376697</v>
      </c>
      <c r="F217" t="s">
        <v>1490</v>
      </c>
      <c r="G217" t="s">
        <v>1491</v>
      </c>
    </row>
    <row r="218" spans="1:7" x14ac:dyDescent="0.3">
      <c r="A218" t="s">
        <v>1562</v>
      </c>
      <c r="B218" t="s">
        <v>1570</v>
      </c>
      <c r="C218" t="s">
        <v>23</v>
      </c>
      <c r="D218">
        <v>-12.207461</v>
      </c>
      <c r="E218">
        <v>13.492367</v>
      </c>
      <c r="F218" t="s">
        <v>1492</v>
      </c>
      <c r="G218" t="s">
        <v>1488</v>
      </c>
    </row>
    <row r="219" spans="1:7" x14ac:dyDescent="0.3">
      <c r="A219" t="s">
        <v>1562</v>
      </c>
      <c r="B219" t="s">
        <v>1571</v>
      </c>
      <c r="C219" t="s">
        <v>135</v>
      </c>
      <c r="D219">
        <v>2.266232</v>
      </c>
      <c r="E219">
        <v>29.532896000000001</v>
      </c>
      <c r="F219" t="s">
        <v>1490</v>
      </c>
      <c r="G219" t="s">
        <v>1488</v>
      </c>
    </row>
    <row r="220" spans="1:7" x14ac:dyDescent="0.3">
      <c r="A220" t="s">
        <v>1562</v>
      </c>
      <c r="B220" t="s">
        <v>1572</v>
      </c>
      <c r="C220" t="s">
        <v>34</v>
      </c>
      <c r="D220">
        <v>2.6937519999999999</v>
      </c>
      <c r="E220">
        <v>26.524137</v>
      </c>
      <c r="F220" t="s">
        <v>1492</v>
      </c>
      <c r="G220" t="s">
        <v>1488</v>
      </c>
    </row>
    <row r="221" spans="1:7" x14ac:dyDescent="0.3">
      <c r="A221" t="s">
        <v>1562</v>
      </c>
      <c r="B221" t="s">
        <v>1416</v>
      </c>
      <c r="C221" t="s">
        <v>36</v>
      </c>
      <c r="D221">
        <v>-7.0007840000000003</v>
      </c>
      <c r="E221">
        <v>22.787997000000001</v>
      </c>
      <c r="F221" t="s">
        <v>1487</v>
      </c>
      <c r="G221" t="s">
        <v>1493</v>
      </c>
    </row>
    <row r="222" spans="1:7" x14ac:dyDescent="0.3">
      <c r="A222" t="s">
        <v>1562</v>
      </c>
      <c r="B222" t="s">
        <v>1573</v>
      </c>
      <c r="C222" t="s">
        <v>77</v>
      </c>
      <c r="D222">
        <v>3.0053459999999999</v>
      </c>
      <c r="E222">
        <v>13.765407</v>
      </c>
      <c r="F222" t="s">
        <v>1487</v>
      </c>
      <c r="G222" t="s">
        <v>1488</v>
      </c>
    </row>
    <row r="223" spans="1:7" x14ac:dyDescent="0.3">
      <c r="A223" t="s">
        <v>1562</v>
      </c>
      <c r="B223" t="s">
        <v>791</v>
      </c>
      <c r="C223" t="s">
        <v>36</v>
      </c>
      <c r="D223">
        <v>-11.144149000000001</v>
      </c>
      <c r="E223">
        <v>27.244658999999999</v>
      </c>
      <c r="F223" t="s">
        <v>1490</v>
      </c>
      <c r="G223" t="s">
        <v>1500</v>
      </c>
    </row>
    <row r="224" spans="1:7" x14ac:dyDescent="0.3">
      <c r="A224" t="s">
        <v>1562</v>
      </c>
      <c r="B224" t="s">
        <v>924</v>
      </c>
      <c r="C224" t="s">
        <v>61</v>
      </c>
      <c r="D224">
        <v>0.79124300000000003</v>
      </c>
      <c r="E224">
        <v>25.273389000000002</v>
      </c>
      <c r="F224" t="s">
        <v>1490</v>
      </c>
      <c r="G224" t="s">
        <v>1500</v>
      </c>
    </row>
    <row r="225" spans="1:7" x14ac:dyDescent="0.3">
      <c r="A225" t="s">
        <v>1562</v>
      </c>
      <c r="B225" t="s">
        <v>1574</v>
      </c>
      <c r="C225" t="s">
        <v>66</v>
      </c>
      <c r="D225">
        <v>0.419985</v>
      </c>
      <c r="E225">
        <v>13.847996999999999</v>
      </c>
      <c r="F225" t="s">
        <v>1487</v>
      </c>
      <c r="G225" t="s">
        <v>1493</v>
      </c>
    </row>
    <row r="226" spans="1:7" x14ac:dyDescent="0.3">
      <c r="A226" t="s">
        <v>1562</v>
      </c>
      <c r="B226" t="s">
        <v>1275</v>
      </c>
      <c r="C226" t="s">
        <v>9</v>
      </c>
      <c r="D226">
        <v>-12.595355</v>
      </c>
      <c r="E226">
        <v>17.897442000000002</v>
      </c>
      <c r="F226" t="s">
        <v>1490</v>
      </c>
      <c r="G226" t="s">
        <v>1491</v>
      </c>
    </row>
    <row r="227" spans="1:7" x14ac:dyDescent="0.3">
      <c r="A227" t="s">
        <v>1562</v>
      </c>
      <c r="B227" t="s">
        <v>1294</v>
      </c>
      <c r="C227" t="s">
        <v>39</v>
      </c>
      <c r="D227">
        <v>0.65288900000000005</v>
      </c>
      <c r="E227">
        <v>24.243953999999999</v>
      </c>
      <c r="F227" t="s">
        <v>1487</v>
      </c>
      <c r="G227" t="s">
        <v>1488</v>
      </c>
    </row>
    <row r="228" spans="1:7" x14ac:dyDescent="0.3">
      <c r="A228" t="s">
        <v>1562</v>
      </c>
      <c r="B228" t="s">
        <v>1322</v>
      </c>
      <c r="C228" t="s">
        <v>25</v>
      </c>
      <c r="D228">
        <v>-1.500685</v>
      </c>
      <c r="E228">
        <v>26.563376000000002</v>
      </c>
      <c r="F228" t="s">
        <v>1487</v>
      </c>
      <c r="G228" t="s">
        <v>1500</v>
      </c>
    </row>
    <row r="229" spans="1:7" x14ac:dyDescent="0.3">
      <c r="A229" t="s">
        <v>1562</v>
      </c>
      <c r="B229" t="s">
        <v>1575</v>
      </c>
      <c r="C229" t="s">
        <v>56</v>
      </c>
      <c r="D229">
        <v>-9.2227779999999999</v>
      </c>
      <c r="E229">
        <v>20.940372</v>
      </c>
      <c r="F229" t="s">
        <v>1492</v>
      </c>
      <c r="G229" t="s">
        <v>1488</v>
      </c>
    </row>
    <row r="230" spans="1:7" x14ac:dyDescent="0.3">
      <c r="A230" t="s">
        <v>1562</v>
      </c>
      <c r="B230" t="s">
        <v>1024</v>
      </c>
      <c r="C230" t="s">
        <v>20</v>
      </c>
      <c r="D230">
        <v>-9.3900009999999998</v>
      </c>
      <c r="E230">
        <v>30.001517</v>
      </c>
      <c r="F230" t="s">
        <v>1492</v>
      </c>
      <c r="G230" t="s">
        <v>1500</v>
      </c>
    </row>
    <row r="231" spans="1:7" x14ac:dyDescent="0.3">
      <c r="A231" t="s">
        <v>1562</v>
      </c>
      <c r="B231" t="s">
        <v>1576</v>
      </c>
      <c r="C231" t="s">
        <v>125</v>
      </c>
      <c r="D231">
        <v>-7.8417870000000001</v>
      </c>
      <c r="E231">
        <v>14.730712</v>
      </c>
      <c r="F231" t="s">
        <v>1487</v>
      </c>
      <c r="G231" t="s">
        <v>1500</v>
      </c>
    </row>
    <row r="232" spans="1:7" x14ac:dyDescent="0.3">
      <c r="A232" t="s">
        <v>1562</v>
      </c>
      <c r="B232" t="s">
        <v>1577</v>
      </c>
      <c r="C232" t="s">
        <v>34</v>
      </c>
      <c r="D232">
        <v>-3.419035</v>
      </c>
      <c r="E232">
        <v>29.018315999999999</v>
      </c>
      <c r="F232" t="s">
        <v>1487</v>
      </c>
      <c r="G232" t="s">
        <v>1488</v>
      </c>
    </row>
    <row r="233" spans="1:7" x14ac:dyDescent="0.3">
      <c r="A233" t="s">
        <v>1562</v>
      </c>
      <c r="B233" t="s">
        <v>1578</v>
      </c>
      <c r="C233" t="s">
        <v>32</v>
      </c>
      <c r="D233">
        <v>0.91016799999999998</v>
      </c>
      <c r="E233">
        <v>16.903002999999998</v>
      </c>
      <c r="F233" t="s">
        <v>1492</v>
      </c>
      <c r="G233" t="s">
        <v>1500</v>
      </c>
    </row>
    <row r="234" spans="1:7" x14ac:dyDescent="0.3">
      <c r="A234" t="s">
        <v>1562</v>
      </c>
      <c r="B234" t="s">
        <v>1380</v>
      </c>
      <c r="C234" t="s">
        <v>72</v>
      </c>
      <c r="D234">
        <v>-0.919767</v>
      </c>
      <c r="E234">
        <v>18.905538</v>
      </c>
      <c r="F234" t="s">
        <v>1487</v>
      </c>
      <c r="G234" t="s">
        <v>1488</v>
      </c>
    </row>
    <row r="235" spans="1:7" x14ac:dyDescent="0.3">
      <c r="A235" t="s">
        <v>1562</v>
      </c>
      <c r="B235" t="s">
        <v>894</v>
      </c>
      <c r="C235" t="s">
        <v>34</v>
      </c>
      <c r="D235">
        <v>-8.0922239999999999</v>
      </c>
      <c r="E235">
        <v>15.483708</v>
      </c>
      <c r="F235" t="s">
        <v>1487</v>
      </c>
      <c r="G235" t="s">
        <v>1500</v>
      </c>
    </row>
    <row r="236" spans="1:7" x14ac:dyDescent="0.3">
      <c r="A236" t="s">
        <v>1562</v>
      </c>
      <c r="B236" t="s">
        <v>1030</v>
      </c>
      <c r="C236" t="s">
        <v>28</v>
      </c>
      <c r="D236">
        <v>-10.165072</v>
      </c>
      <c r="E236">
        <v>29.428024000000001</v>
      </c>
      <c r="F236" t="s">
        <v>1487</v>
      </c>
      <c r="G236" t="s">
        <v>1491</v>
      </c>
    </row>
    <row r="237" spans="1:7" x14ac:dyDescent="0.3">
      <c r="A237" t="s">
        <v>1562</v>
      </c>
      <c r="B237" t="s">
        <v>1226</v>
      </c>
      <c r="C237" t="s">
        <v>50</v>
      </c>
      <c r="D237">
        <v>-10.939712999999999</v>
      </c>
      <c r="E237">
        <v>18.276230999999999</v>
      </c>
      <c r="F237" t="s">
        <v>1490</v>
      </c>
      <c r="G237" t="s">
        <v>1493</v>
      </c>
    </row>
    <row r="238" spans="1:7" x14ac:dyDescent="0.3">
      <c r="A238" t="s">
        <v>1562</v>
      </c>
      <c r="B238" t="s">
        <v>832</v>
      </c>
      <c r="C238" t="s">
        <v>20</v>
      </c>
      <c r="D238">
        <v>4.2493650000000001</v>
      </c>
      <c r="E238">
        <v>28.355039999999999</v>
      </c>
      <c r="F238" t="s">
        <v>1492</v>
      </c>
      <c r="G238" t="s">
        <v>1493</v>
      </c>
    </row>
    <row r="239" spans="1:7" x14ac:dyDescent="0.3">
      <c r="A239" t="s">
        <v>1562</v>
      </c>
      <c r="B239" t="s">
        <v>1421</v>
      </c>
      <c r="C239" t="s">
        <v>23</v>
      </c>
      <c r="D239">
        <v>-2.926736</v>
      </c>
      <c r="E239">
        <v>18.170461</v>
      </c>
      <c r="F239" t="s">
        <v>1487</v>
      </c>
      <c r="G239" t="s">
        <v>1488</v>
      </c>
    </row>
    <row r="240" spans="1:7" x14ac:dyDescent="0.3">
      <c r="A240" t="s">
        <v>1562</v>
      </c>
      <c r="B240" t="s">
        <v>1240</v>
      </c>
      <c r="C240" t="s">
        <v>61</v>
      </c>
      <c r="D240">
        <v>-11.157245</v>
      </c>
      <c r="E240">
        <v>21.262627999999999</v>
      </c>
      <c r="F240" t="s">
        <v>1487</v>
      </c>
      <c r="G240" t="s">
        <v>1493</v>
      </c>
    </row>
    <row r="241" spans="1:7" x14ac:dyDescent="0.3">
      <c r="A241" t="s">
        <v>1562</v>
      </c>
      <c r="B241" t="s">
        <v>1579</v>
      </c>
      <c r="C241" t="s">
        <v>135</v>
      </c>
      <c r="D241">
        <v>-3.234483</v>
      </c>
      <c r="E241">
        <v>13.241939</v>
      </c>
      <c r="F241" t="s">
        <v>1490</v>
      </c>
      <c r="G241" t="s">
        <v>1493</v>
      </c>
    </row>
    <row r="242" spans="1:7" x14ac:dyDescent="0.3">
      <c r="A242" t="s">
        <v>1562</v>
      </c>
      <c r="B242" t="s">
        <v>938</v>
      </c>
      <c r="C242" t="s">
        <v>32</v>
      </c>
      <c r="D242">
        <v>-3.111418</v>
      </c>
      <c r="E242">
        <v>14.144854</v>
      </c>
      <c r="F242" t="s">
        <v>1490</v>
      </c>
      <c r="G242" t="s">
        <v>1493</v>
      </c>
    </row>
    <row r="243" spans="1:7" x14ac:dyDescent="0.3">
      <c r="A243" t="s">
        <v>1562</v>
      </c>
      <c r="B243" t="s">
        <v>1126</v>
      </c>
      <c r="C243" t="s">
        <v>39</v>
      </c>
      <c r="D243">
        <v>-8.1210620000000002</v>
      </c>
      <c r="E243">
        <v>21.094390000000001</v>
      </c>
      <c r="F243" t="s">
        <v>1487</v>
      </c>
      <c r="G243" t="s">
        <v>1493</v>
      </c>
    </row>
    <row r="244" spans="1:7" x14ac:dyDescent="0.3">
      <c r="A244" t="s">
        <v>1562</v>
      </c>
      <c r="B244" t="s">
        <v>1444</v>
      </c>
      <c r="D244">
        <v>3.9790009999999998</v>
      </c>
      <c r="E244">
        <v>28.069559000000002</v>
      </c>
      <c r="F244" t="s">
        <v>1492</v>
      </c>
      <c r="G244" t="s">
        <v>1491</v>
      </c>
    </row>
    <row r="245" spans="1:7" x14ac:dyDescent="0.3">
      <c r="A245" t="s">
        <v>1562</v>
      </c>
      <c r="B245" t="s">
        <v>1580</v>
      </c>
      <c r="C245" t="s">
        <v>72</v>
      </c>
      <c r="D245">
        <v>1.472051</v>
      </c>
      <c r="E245">
        <v>17.36289</v>
      </c>
      <c r="F245" t="s">
        <v>1490</v>
      </c>
      <c r="G245" t="s">
        <v>1491</v>
      </c>
    </row>
    <row r="246" spans="1:7" x14ac:dyDescent="0.3">
      <c r="A246" t="s">
        <v>1562</v>
      </c>
      <c r="B246" t="s">
        <v>1213</v>
      </c>
      <c r="C246" t="s">
        <v>63</v>
      </c>
      <c r="D246">
        <v>-2.6665070000000002</v>
      </c>
      <c r="E246">
        <v>18.623692999999999</v>
      </c>
      <c r="F246" t="s">
        <v>1492</v>
      </c>
      <c r="G246" t="s">
        <v>1493</v>
      </c>
    </row>
    <row r="247" spans="1:7" x14ac:dyDescent="0.3">
      <c r="A247" t="s">
        <v>1562</v>
      </c>
      <c r="B247" t="s">
        <v>1581</v>
      </c>
      <c r="C247" t="s">
        <v>23</v>
      </c>
      <c r="D247">
        <v>-9.9170499999999997</v>
      </c>
      <c r="E247">
        <v>22.918887000000002</v>
      </c>
      <c r="F247" t="s">
        <v>1490</v>
      </c>
      <c r="G247" t="s">
        <v>1491</v>
      </c>
    </row>
    <row r="248" spans="1:7" x14ac:dyDescent="0.3">
      <c r="A248" t="s">
        <v>1562</v>
      </c>
      <c r="B248" t="s">
        <v>1423</v>
      </c>
      <c r="C248" t="s">
        <v>25</v>
      </c>
      <c r="D248">
        <v>-7.3952039999999997</v>
      </c>
      <c r="E248">
        <v>21.651043999999999</v>
      </c>
      <c r="F248" t="s">
        <v>1490</v>
      </c>
      <c r="G248" t="s">
        <v>1491</v>
      </c>
    </row>
    <row r="249" spans="1:7" x14ac:dyDescent="0.3">
      <c r="A249" t="s">
        <v>1562</v>
      </c>
      <c r="B249" t="s">
        <v>945</v>
      </c>
      <c r="C249" t="s">
        <v>72</v>
      </c>
      <c r="D249">
        <v>3.0603760000000002</v>
      </c>
      <c r="E249">
        <v>19.708034000000001</v>
      </c>
      <c r="F249" t="s">
        <v>1492</v>
      </c>
      <c r="G249" t="s">
        <v>1493</v>
      </c>
    </row>
    <row r="250" spans="1:7" x14ac:dyDescent="0.3">
      <c r="A250" t="s">
        <v>1562</v>
      </c>
      <c r="B250" t="s">
        <v>1582</v>
      </c>
      <c r="C250" t="s">
        <v>43</v>
      </c>
      <c r="D250">
        <v>-3.269612</v>
      </c>
      <c r="E250">
        <v>25.571189</v>
      </c>
      <c r="F250" t="s">
        <v>1487</v>
      </c>
      <c r="G250" t="s">
        <v>1488</v>
      </c>
    </row>
    <row r="251" spans="1:7" x14ac:dyDescent="0.3">
      <c r="A251" t="s">
        <v>1562</v>
      </c>
      <c r="B251" t="s">
        <v>1583</v>
      </c>
      <c r="C251" t="s">
        <v>32</v>
      </c>
      <c r="D251">
        <v>-12.086929</v>
      </c>
      <c r="E251">
        <v>14.032645</v>
      </c>
      <c r="F251" t="s">
        <v>1492</v>
      </c>
      <c r="G251" t="s">
        <v>1493</v>
      </c>
    </row>
    <row r="252" spans="1:7" x14ac:dyDescent="0.3">
      <c r="A252" t="s">
        <v>1584</v>
      </c>
      <c r="B252" t="s">
        <v>856</v>
      </c>
      <c r="C252" t="s">
        <v>39</v>
      </c>
      <c r="D252">
        <v>-10.963041</v>
      </c>
      <c r="E252">
        <v>12.269857</v>
      </c>
      <c r="F252" t="s">
        <v>1490</v>
      </c>
      <c r="G252" t="s">
        <v>1491</v>
      </c>
    </row>
    <row r="253" spans="1:7" x14ac:dyDescent="0.3">
      <c r="A253" t="s">
        <v>1584</v>
      </c>
      <c r="B253" t="s">
        <v>1585</v>
      </c>
      <c r="C253" t="s">
        <v>15</v>
      </c>
      <c r="D253">
        <v>-4.332408</v>
      </c>
      <c r="E253">
        <v>14.119439</v>
      </c>
      <c r="F253" t="s">
        <v>1487</v>
      </c>
      <c r="G253" t="s">
        <v>1500</v>
      </c>
    </row>
    <row r="254" spans="1:7" x14ac:dyDescent="0.3">
      <c r="A254" t="s">
        <v>1584</v>
      </c>
      <c r="B254" t="s">
        <v>1304</v>
      </c>
      <c r="C254" t="s">
        <v>63</v>
      </c>
      <c r="D254">
        <v>-0.57104900000000003</v>
      </c>
      <c r="E254">
        <v>15.317663</v>
      </c>
      <c r="F254" t="s">
        <v>1487</v>
      </c>
      <c r="G254" t="s">
        <v>1500</v>
      </c>
    </row>
    <row r="255" spans="1:7" x14ac:dyDescent="0.3">
      <c r="A255" t="s">
        <v>1584</v>
      </c>
      <c r="B255" t="s">
        <v>971</v>
      </c>
      <c r="C255" t="s">
        <v>43</v>
      </c>
      <c r="D255">
        <v>-10.442425</v>
      </c>
      <c r="E255">
        <v>23.243632000000002</v>
      </c>
      <c r="F255" t="s">
        <v>1490</v>
      </c>
      <c r="G255" t="s">
        <v>1500</v>
      </c>
    </row>
    <row r="256" spans="1:7" x14ac:dyDescent="0.3">
      <c r="A256" t="s">
        <v>1584</v>
      </c>
      <c r="B256" t="s">
        <v>1092</v>
      </c>
      <c r="C256" t="s">
        <v>17</v>
      </c>
      <c r="D256">
        <v>0.16327700000000001</v>
      </c>
      <c r="E256">
        <v>14.871577</v>
      </c>
      <c r="F256" t="s">
        <v>1490</v>
      </c>
      <c r="G256" t="s">
        <v>1491</v>
      </c>
    </row>
    <row r="257" spans="1:7" x14ac:dyDescent="0.3">
      <c r="A257" t="s">
        <v>1584</v>
      </c>
      <c r="B257" t="s">
        <v>1586</v>
      </c>
      <c r="C257" t="s">
        <v>25</v>
      </c>
      <c r="D257">
        <v>4.7044240000000004</v>
      </c>
      <c r="E257">
        <v>20.486409999999999</v>
      </c>
      <c r="F257" t="s">
        <v>1490</v>
      </c>
      <c r="G257" t="s">
        <v>1493</v>
      </c>
    </row>
    <row r="258" spans="1:7" x14ac:dyDescent="0.3">
      <c r="A258" t="s">
        <v>1584</v>
      </c>
      <c r="B258" t="s">
        <v>1587</v>
      </c>
      <c r="C258" t="s">
        <v>12</v>
      </c>
      <c r="D258">
        <v>4.7060310000000003</v>
      </c>
      <c r="E258">
        <v>27.348973000000001</v>
      </c>
      <c r="F258" t="s">
        <v>1490</v>
      </c>
      <c r="G258" t="s">
        <v>1491</v>
      </c>
    </row>
    <row r="259" spans="1:7" x14ac:dyDescent="0.3">
      <c r="A259" t="s">
        <v>1584</v>
      </c>
      <c r="B259" t="s">
        <v>1588</v>
      </c>
      <c r="C259" t="s">
        <v>9</v>
      </c>
      <c r="D259">
        <v>1.019657</v>
      </c>
      <c r="E259">
        <v>16.963799000000002</v>
      </c>
      <c r="F259" t="s">
        <v>1492</v>
      </c>
      <c r="G259" t="s">
        <v>1500</v>
      </c>
    </row>
    <row r="260" spans="1:7" x14ac:dyDescent="0.3">
      <c r="A260" t="s">
        <v>1584</v>
      </c>
      <c r="B260" t="s">
        <v>1417</v>
      </c>
      <c r="C260" t="s">
        <v>43</v>
      </c>
      <c r="D260">
        <v>-4.6311460000000002</v>
      </c>
      <c r="E260">
        <v>25.314723000000001</v>
      </c>
      <c r="F260" t="s">
        <v>1490</v>
      </c>
      <c r="G260" t="s">
        <v>1491</v>
      </c>
    </row>
    <row r="261" spans="1:7" x14ac:dyDescent="0.3">
      <c r="A261" t="s">
        <v>1584</v>
      </c>
      <c r="B261" t="s">
        <v>1589</v>
      </c>
      <c r="C261" t="s">
        <v>39</v>
      </c>
      <c r="D261">
        <v>-11.591777</v>
      </c>
      <c r="E261">
        <v>21.213452</v>
      </c>
      <c r="F261" t="s">
        <v>1487</v>
      </c>
      <c r="G261" t="s">
        <v>1488</v>
      </c>
    </row>
    <row r="262" spans="1:7" x14ac:dyDescent="0.3">
      <c r="A262" t="s">
        <v>1584</v>
      </c>
      <c r="B262" t="s">
        <v>1590</v>
      </c>
      <c r="C262" t="s">
        <v>43</v>
      </c>
      <c r="D262">
        <v>3.0184790000000001</v>
      </c>
      <c r="E262">
        <v>27.188068000000001</v>
      </c>
      <c r="F262" t="s">
        <v>1487</v>
      </c>
      <c r="G262" t="s">
        <v>1488</v>
      </c>
    </row>
    <row r="263" spans="1:7" x14ac:dyDescent="0.3">
      <c r="A263" t="s">
        <v>1584</v>
      </c>
      <c r="B263" t="s">
        <v>1235</v>
      </c>
      <c r="C263" t="s">
        <v>15</v>
      </c>
      <c r="D263">
        <v>-11.407966</v>
      </c>
      <c r="E263">
        <v>28.378274000000001</v>
      </c>
      <c r="F263" t="s">
        <v>1490</v>
      </c>
      <c r="G263" t="s">
        <v>1493</v>
      </c>
    </row>
    <row r="264" spans="1:7" x14ac:dyDescent="0.3">
      <c r="A264" t="s">
        <v>1584</v>
      </c>
      <c r="B264" t="s">
        <v>1231</v>
      </c>
      <c r="C264" t="s">
        <v>23</v>
      </c>
      <c r="D264">
        <v>-4.4958720000000003</v>
      </c>
      <c r="E264">
        <v>18.514112000000001</v>
      </c>
      <c r="F264" t="s">
        <v>1490</v>
      </c>
      <c r="G264" t="s">
        <v>1500</v>
      </c>
    </row>
    <row r="265" spans="1:7" x14ac:dyDescent="0.3">
      <c r="A265" t="s">
        <v>1584</v>
      </c>
      <c r="B265" t="s">
        <v>1591</v>
      </c>
      <c r="C265" t="s">
        <v>9</v>
      </c>
      <c r="D265">
        <v>0.35034999999999999</v>
      </c>
      <c r="E265">
        <v>13.603628</v>
      </c>
      <c r="F265" t="s">
        <v>1487</v>
      </c>
      <c r="G265" t="s">
        <v>1493</v>
      </c>
    </row>
    <row r="266" spans="1:7" x14ac:dyDescent="0.3">
      <c r="A266" t="s">
        <v>1584</v>
      </c>
      <c r="B266" t="s">
        <v>1592</v>
      </c>
      <c r="C266" t="s">
        <v>125</v>
      </c>
      <c r="D266">
        <v>4.2873989999999997</v>
      </c>
      <c r="E266">
        <v>14.756335</v>
      </c>
      <c r="F266" t="s">
        <v>1487</v>
      </c>
      <c r="G266" t="s">
        <v>1488</v>
      </c>
    </row>
    <row r="267" spans="1:7" x14ac:dyDescent="0.3">
      <c r="A267" t="s">
        <v>1584</v>
      </c>
      <c r="B267" t="s">
        <v>1085</v>
      </c>
      <c r="C267" t="s">
        <v>23</v>
      </c>
      <c r="D267">
        <v>-11.594525000000001</v>
      </c>
      <c r="E267">
        <v>29.744895</v>
      </c>
      <c r="F267" t="s">
        <v>1492</v>
      </c>
      <c r="G267" t="s">
        <v>1493</v>
      </c>
    </row>
    <row r="268" spans="1:7" x14ac:dyDescent="0.3">
      <c r="A268" t="s">
        <v>1584</v>
      </c>
      <c r="B268" t="s">
        <v>1053</v>
      </c>
      <c r="C268" t="s">
        <v>36</v>
      </c>
      <c r="D268">
        <v>-1.5936220000000001</v>
      </c>
      <c r="E268">
        <v>14.928856</v>
      </c>
      <c r="F268" t="s">
        <v>1487</v>
      </c>
      <c r="G268" t="s">
        <v>1488</v>
      </c>
    </row>
    <row r="269" spans="1:7" x14ac:dyDescent="0.3">
      <c r="A269" t="s">
        <v>1584</v>
      </c>
      <c r="B269" t="s">
        <v>1593</v>
      </c>
      <c r="C269" t="s">
        <v>30</v>
      </c>
      <c r="D269">
        <v>1.3657680000000001</v>
      </c>
      <c r="E269">
        <v>21.423017000000002</v>
      </c>
      <c r="F269" t="s">
        <v>1487</v>
      </c>
      <c r="G269" t="s">
        <v>1488</v>
      </c>
    </row>
    <row r="270" spans="1:7" x14ac:dyDescent="0.3">
      <c r="A270" t="s">
        <v>1584</v>
      </c>
      <c r="B270" t="s">
        <v>1594</v>
      </c>
      <c r="C270" t="s">
        <v>9</v>
      </c>
      <c r="D270">
        <v>-7.3750049999999998</v>
      </c>
      <c r="E270">
        <v>30.878126000000002</v>
      </c>
      <c r="F270" t="s">
        <v>1487</v>
      </c>
      <c r="G270" t="s">
        <v>1491</v>
      </c>
    </row>
    <row r="271" spans="1:7" x14ac:dyDescent="0.3">
      <c r="A271" t="s">
        <v>1584</v>
      </c>
      <c r="B271" t="s">
        <v>1250</v>
      </c>
      <c r="C271" t="s">
        <v>30</v>
      </c>
      <c r="D271">
        <v>-12.050063</v>
      </c>
      <c r="E271">
        <v>26.636987999999999</v>
      </c>
      <c r="F271" t="s">
        <v>1492</v>
      </c>
      <c r="G271" t="s">
        <v>1500</v>
      </c>
    </row>
    <row r="272" spans="1:7" x14ac:dyDescent="0.3">
      <c r="A272" t="s">
        <v>1584</v>
      </c>
      <c r="B272" t="s">
        <v>1595</v>
      </c>
      <c r="C272" t="s">
        <v>28</v>
      </c>
      <c r="D272">
        <v>-6.8161690000000004</v>
      </c>
      <c r="E272">
        <v>16.521000999999998</v>
      </c>
      <c r="F272" t="s">
        <v>1487</v>
      </c>
      <c r="G272" t="s">
        <v>1488</v>
      </c>
    </row>
    <row r="273" spans="1:7" x14ac:dyDescent="0.3">
      <c r="A273" t="s">
        <v>1584</v>
      </c>
      <c r="B273" t="s">
        <v>1472</v>
      </c>
      <c r="C273" t="s">
        <v>125</v>
      </c>
      <c r="D273">
        <v>1.0134879999999999</v>
      </c>
      <c r="E273">
        <v>20.363515</v>
      </c>
      <c r="F273" t="s">
        <v>1490</v>
      </c>
      <c r="G273" t="s">
        <v>1500</v>
      </c>
    </row>
    <row r="274" spans="1:7" x14ac:dyDescent="0.3">
      <c r="A274" t="s">
        <v>1584</v>
      </c>
      <c r="B274" t="s">
        <v>958</v>
      </c>
      <c r="C274" t="s">
        <v>72</v>
      </c>
      <c r="D274">
        <v>-4.5603610000000003</v>
      </c>
      <c r="E274">
        <v>24.113918999999999</v>
      </c>
      <c r="F274" t="s">
        <v>1487</v>
      </c>
      <c r="G274" t="s">
        <v>1493</v>
      </c>
    </row>
    <row r="275" spans="1:7" x14ac:dyDescent="0.3">
      <c r="A275" t="s">
        <v>1584</v>
      </c>
      <c r="B275" t="s">
        <v>1065</v>
      </c>
      <c r="C275" t="s">
        <v>9</v>
      </c>
      <c r="D275">
        <v>-3.7720639999999999</v>
      </c>
      <c r="E275">
        <v>16.006277999999998</v>
      </c>
      <c r="F275" t="s">
        <v>1487</v>
      </c>
      <c r="G275" t="s">
        <v>1493</v>
      </c>
    </row>
    <row r="276" spans="1:7" x14ac:dyDescent="0.3">
      <c r="A276" t="s">
        <v>1584</v>
      </c>
      <c r="B276" t="s">
        <v>1596</v>
      </c>
      <c r="C276" t="s">
        <v>59</v>
      </c>
      <c r="D276">
        <v>-4.5538169999999996</v>
      </c>
      <c r="E276">
        <v>25.952860999999999</v>
      </c>
      <c r="F276" t="s">
        <v>1492</v>
      </c>
      <c r="G276" t="s">
        <v>1488</v>
      </c>
    </row>
    <row r="277" spans="1:7" x14ac:dyDescent="0.3">
      <c r="A277" t="s">
        <v>1584</v>
      </c>
      <c r="B277" t="s">
        <v>1190</v>
      </c>
      <c r="C277" t="s">
        <v>125</v>
      </c>
      <c r="D277">
        <v>0.20866199999999999</v>
      </c>
      <c r="E277">
        <v>18.556439000000001</v>
      </c>
      <c r="F277" t="s">
        <v>1490</v>
      </c>
      <c r="G277" t="s">
        <v>1500</v>
      </c>
    </row>
    <row r="278" spans="1:7" x14ac:dyDescent="0.3">
      <c r="A278" t="s">
        <v>1584</v>
      </c>
      <c r="B278" t="s">
        <v>1181</v>
      </c>
      <c r="C278" t="s">
        <v>129</v>
      </c>
      <c r="D278">
        <v>-5.42171</v>
      </c>
      <c r="E278">
        <v>24.202960999999998</v>
      </c>
      <c r="F278" t="s">
        <v>1487</v>
      </c>
      <c r="G278" t="s">
        <v>1488</v>
      </c>
    </row>
    <row r="279" spans="1:7" x14ac:dyDescent="0.3">
      <c r="A279" t="s">
        <v>1584</v>
      </c>
      <c r="B279" t="s">
        <v>1118</v>
      </c>
      <c r="C279" t="s">
        <v>20</v>
      </c>
      <c r="D279">
        <v>4.2904629999999999</v>
      </c>
      <c r="E279">
        <v>26.354195000000001</v>
      </c>
      <c r="F279" t="s">
        <v>1492</v>
      </c>
      <c r="G279" t="s">
        <v>1488</v>
      </c>
    </row>
    <row r="280" spans="1:7" x14ac:dyDescent="0.3">
      <c r="A280" t="s">
        <v>1584</v>
      </c>
      <c r="B280" t="s">
        <v>1597</v>
      </c>
      <c r="C280" t="s">
        <v>56</v>
      </c>
      <c r="D280">
        <v>1.368018</v>
      </c>
      <c r="E280">
        <v>14.203893000000001</v>
      </c>
      <c r="F280" t="s">
        <v>1487</v>
      </c>
      <c r="G280" t="s">
        <v>1491</v>
      </c>
    </row>
    <row r="281" spans="1:7" x14ac:dyDescent="0.3">
      <c r="A281" t="s">
        <v>1584</v>
      </c>
      <c r="B281" t="s">
        <v>1598</v>
      </c>
      <c r="C281" t="s">
        <v>28</v>
      </c>
      <c r="D281">
        <v>-7.7942479999999996</v>
      </c>
      <c r="E281">
        <v>15.184407999999999</v>
      </c>
      <c r="F281" t="s">
        <v>1492</v>
      </c>
      <c r="G281" t="s">
        <v>1493</v>
      </c>
    </row>
    <row r="282" spans="1:7" x14ac:dyDescent="0.3">
      <c r="A282" t="s">
        <v>1584</v>
      </c>
      <c r="B282" t="s">
        <v>1269</v>
      </c>
      <c r="C282" t="s">
        <v>9</v>
      </c>
      <c r="D282">
        <v>-12.364127999999999</v>
      </c>
      <c r="E282">
        <v>19.576150999999999</v>
      </c>
      <c r="F282" t="s">
        <v>1492</v>
      </c>
      <c r="G282" t="s">
        <v>1500</v>
      </c>
    </row>
    <row r="283" spans="1:7" x14ac:dyDescent="0.3">
      <c r="A283" t="s">
        <v>1584</v>
      </c>
      <c r="B283" t="s">
        <v>1277</v>
      </c>
      <c r="C283" t="s">
        <v>30</v>
      </c>
      <c r="D283">
        <v>3.611561</v>
      </c>
      <c r="E283">
        <v>17.725974999999998</v>
      </c>
      <c r="F283" t="s">
        <v>1492</v>
      </c>
      <c r="G283" t="s">
        <v>1493</v>
      </c>
    </row>
    <row r="284" spans="1:7" x14ac:dyDescent="0.3">
      <c r="A284" t="s">
        <v>1584</v>
      </c>
      <c r="B284" t="s">
        <v>1033</v>
      </c>
      <c r="C284" t="s">
        <v>63</v>
      </c>
      <c r="D284">
        <v>0.48965500000000001</v>
      </c>
      <c r="E284">
        <v>26.176860000000001</v>
      </c>
      <c r="F284" t="s">
        <v>1490</v>
      </c>
      <c r="G284" t="s">
        <v>1491</v>
      </c>
    </row>
    <row r="285" spans="1:7" x14ac:dyDescent="0.3">
      <c r="A285" t="s">
        <v>1584</v>
      </c>
      <c r="B285" t="s">
        <v>1219</v>
      </c>
      <c r="C285" t="s">
        <v>87</v>
      </c>
      <c r="D285">
        <v>8.5490999999999998E-2</v>
      </c>
      <c r="E285">
        <v>26.296129000000001</v>
      </c>
      <c r="F285" t="s">
        <v>1492</v>
      </c>
      <c r="G285" t="s">
        <v>1493</v>
      </c>
    </row>
    <row r="286" spans="1:7" x14ac:dyDescent="0.3">
      <c r="A286" t="s">
        <v>1584</v>
      </c>
      <c r="B286" t="s">
        <v>1185</v>
      </c>
      <c r="C286" t="s">
        <v>25</v>
      </c>
      <c r="D286">
        <v>-2.8532869999999999</v>
      </c>
      <c r="E286">
        <v>22.117896000000002</v>
      </c>
      <c r="F286" t="s">
        <v>1487</v>
      </c>
      <c r="G286" t="s">
        <v>1491</v>
      </c>
    </row>
    <row r="287" spans="1:7" x14ac:dyDescent="0.3">
      <c r="A287" t="s">
        <v>1584</v>
      </c>
      <c r="B287" t="s">
        <v>1395</v>
      </c>
      <c r="C287" t="s">
        <v>17</v>
      </c>
      <c r="D287">
        <v>-11.89448</v>
      </c>
      <c r="E287">
        <v>19.216214999999998</v>
      </c>
      <c r="F287" t="s">
        <v>1492</v>
      </c>
      <c r="G287" t="s">
        <v>1493</v>
      </c>
    </row>
    <row r="288" spans="1:7" x14ac:dyDescent="0.3">
      <c r="A288" t="s">
        <v>1584</v>
      </c>
      <c r="B288" t="s">
        <v>1162</v>
      </c>
      <c r="C288" t="s">
        <v>56</v>
      </c>
      <c r="D288">
        <v>-4.4831099999999999</v>
      </c>
      <c r="E288">
        <v>25.406548000000001</v>
      </c>
      <c r="F288" t="s">
        <v>1487</v>
      </c>
      <c r="G288" t="s">
        <v>1500</v>
      </c>
    </row>
    <row r="289" spans="1:7" x14ac:dyDescent="0.3">
      <c r="A289" t="s">
        <v>1584</v>
      </c>
      <c r="B289" t="s">
        <v>1135</v>
      </c>
      <c r="C289" t="s">
        <v>36</v>
      </c>
      <c r="D289">
        <v>-9.9565739999999998</v>
      </c>
      <c r="E289">
        <v>21.017202000000001</v>
      </c>
      <c r="F289" t="s">
        <v>1490</v>
      </c>
      <c r="G289" t="s">
        <v>1491</v>
      </c>
    </row>
    <row r="290" spans="1:7" x14ac:dyDescent="0.3">
      <c r="A290" t="s">
        <v>1584</v>
      </c>
      <c r="B290" t="s">
        <v>1389</v>
      </c>
      <c r="C290" t="s">
        <v>72</v>
      </c>
      <c r="D290">
        <v>-12.070842000000001</v>
      </c>
      <c r="E290">
        <v>14.757847</v>
      </c>
      <c r="F290" t="s">
        <v>1490</v>
      </c>
      <c r="G290" t="s">
        <v>1493</v>
      </c>
    </row>
    <row r="291" spans="1:7" x14ac:dyDescent="0.3">
      <c r="A291" t="s">
        <v>1584</v>
      </c>
      <c r="B291" t="s">
        <v>1332</v>
      </c>
      <c r="C291" t="s">
        <v>66</v>
      </c>
      <c r="D291">
        <v>4.8265669999999998</v>
      </c>
      <c r="E291">
        <v>28.535277000000001</v>
      </c>
      <c r="F291" t="s">
        <v>1492</v>
      </c>
      <c r="G291" t="s">
        <v>1491</v>
      </c>
    </row>
    <row r="292" spans="1:7" x14ac:dyDescent="0.3">
      <c r="A292" t="s">
        <v>1584</v>
      </c>
      <c r="B292" t="s">
        <v>1599</v>
      </c>
      <c r="C292" t="s">
        <v>9</v>
      </c>
      <c r="D292">
        <v>1.5601240000000001</v>
      </c>
      <c r="E292">
        <v>12.225398</v>
      </c>
      <c r="F292" t="s">
        <v>1487</v>
      </c>
      <c r="G292" t="s">
        <v>1500</v>
      </c>
    </row>
    <row r="293" spans="1:7" x14ac:dyDescent="0.3">
      <c r="A293" t="s">
        <v>1584</v>
      </c>
      <c r="B293" t="s">
        <v>1600</v>
      </c>
      <c r="C293" t="s">
        <v>59</v>
      </c>
      <c r="D293">
        <v>-1.762294</v>
      </c>
      <c r="E293">
        <v>29.617228000000001</v>
      </c>
      <c r="F293" t="s">
        <v>1490</v>
      </c>
      <c r="G293" t="s">
        <v>1493</v>
      </c>
    </row>
    <row r="294" spans="1:7" x14ac:dyDescent="0.3">
      <c r="A294" t="s">
        <v>1584</v>
      </c>
      <c r="B294" t="s">
        <v>1437</v>
      </c>
      <c r="C294" t="s">
        <v>87</v>
      </c>
      <c r="D294">
        <v>-7.8373179999999998</v>
      </c>
      <c r="E294">
        <v>20.527591999999999</v>
      </c>
      <c r="F294" t="s">
        <v>1490</v>
      </c>
      <c r="G294" t="s">
        <v>1488</v>
      </c>
    </row>
    <row r="295" spans="1:7" x14ac:dyDescent="0.3">
      <c r="A295" t="s">
        <v>1584</v>
      </c>
      <c r="B295" t="s">
        <v>1308</v>
      </c>
      <c r="C295" t="s">
        <v>20</v>
      </c>
      <c r="D295">
        <v>-11.514817000000001</v>
      </c>
      <c r="E295">
        <v>24.891375</v>
      </c>
      <c r="F295" t="s">
        <v>1492</v>
      </c>
      <c r="G295" t="s">
        <v>1500</v>
      </c>
    </row>
    <row r="296" spans="1:7" x14ac:dyDescent="0.3">
      <c r="A296" t="s">
        <v>1584</v>
      </c>
      <c r="B296" t="s">
        <v>1601</v>
      </c>
      <c r="C296" t="s">
        <v>61</v>
      </c>
      <c r="D296">
        <v>-3.89927</v>
      </c>
      <c r="E296">
        <v>30.273492000000001</v>
      </c>
      <c r="F296" t="s">
        <v>1492</v>
      </c>
      <c r="G296" t="s">
        <v>1500</v>
      </c>
    </row>
    <row r="297" spans="1:7" x14ac:dyDescent="0.3">
      <c r="A297" t="s">
        <v>1584</v>
      </c>
      <c r="B297" t="s">
        <v>1602</v>
      </c>
      <c r="C297" t="s">
        <v>61</v>
      </c>
      <c r="D297">
        <v>2.3260149999999999</v>
      </c>
      <c r="E297">
        <v>24.97465</v>
      </c>
      <c r="F297" t="s">
        <v>1492</v>
      </c>
      <c r="G297" t="s">
        <v>1500</v>
      </c>
    </row>
    <row r="298" spans="1:7" x14ac:dyDescent="0.3">
      <c r="A298" t="s">
        <v>1584</v>
      </c>
      <c r="B298" t="s">
        <v>925</v>
      </c>
      <c r="C298" t="s">
        <v>87</v>
      </c>
      <c r="D298">
        <v>-7.9987219999999999</v>
      </c>
      <c r="E298">
        <v>12.779335</v>
      </c>
      <c r="F298" t="s">
        <v>1487</v>
      </c>
      <c r="G298" t="s">
        <v>1500</v>
      </c>
    </row>
    <row r="299" spans="1:7" x14ac:dyDescent="0.3">
      <c r="A299" t="s">
        <v>1584</v>
      </c>
      <c r="B299" t="s">
        <v>1603</v>
      </c>
      <c r="C299" t="s">
        <v>25</v>
      </c>
      <c r="D299">
        <v>-10.614302</v>
      </c>
      <c r="E299">
        <v>29.436530999999999</v>
      </c>
      <c r="F299" t="s">
        <v>1492</v>
      </c>
      <c r="G299" t="s">
        <v>1488</v>
      </c>
    </row>
    <row r="300" spans="1:7" x14ac:dyDescent="0.3">
      <c r="A300" t="s">
        <v>1584</v>
      </c>
      <c r="B300" t="s">
        <v>1239</v>
      </c>
      <c r="C300" t="s">
        <v>36</v>
      </c>
      <c r="D300">
        <v>-7.9425049999999997</v>
      </c>
      <c r="E300">
        <v>24.111059000000001</v>
      </c>
      <c r="F300" t="s">
        <v>1492</v>
      </c>
      <c r="G300" t="s">
        <v>1493</v>
      </c>
    </row>
    <row r="301" spans="1:7" x14ac:dyDescent="0.3">
      <c r="A301" t="s">
        <v>1584</v>
      </c>
      <c r="B301" t="s">
        <v>1218</v>
      </c>
      <c r="C301" t="s">
        <v>20</v>
      </c>
      <c r="D301">
        <v>2.4414509999999998</v>
      </c>
      <c r="E301">
        <v>30.167489</v>
      </c>
      <c r="F301" t="s">
        <v>1487</v>
      </c>
      <c r="G301" t="s">
        <v>1500</v>
      </c>
    </row>
    <row r="302" spans="1:7" x14ac:dyDescent="0.3">
      <c r="A302" t="s">
        <v>1604</v>
      </c>
      <c r="B302" t="s">
        <v>895</v>
      </c>
      <c r="C302" t="s">
        <v>63</v>
      </c>
      <c r="D302">
        <v>-1.339734</v>
      </c>
      <c r="E302">
        <v>15.243098</v>
      </c>
      <c r="F302" t="s">
        <v>1492</v>
      </c>
      <c r="G302" t="s">
        <v>1500</v>
      </c>
    </row>
    <row r="303" spans="1:7" x14ac:dyDescent="0.3">
      <c r="A303" t="s">
        <v>1604</v>
      </c>
      <c r="B303" t="s">
        <v>1195</v>
      </c>
      <c r="C303" t="s">
        <v>61</v>
      </c>
      <c r="D303">
        <v>-9.8208710000000004</v>
      </c>
      <c r="E303">
        <v>23.229807000000001</v>
      </c>
      <c r="F303" t="s">
        <v>1487</v>
      </c>
      <c r="G303" t="s">
        <v>1500</v>
      </c>
    </row>
    <row r="304" spans="1:7" x14ac:dyDescent="0.3">
      <c r="A304" t="s">
        <v>1604</v>
      </c>
      <c r="B304" t="s">
        <v>1051</v>
      </c>
      <c r="C304" t="s">
        <v>12</v>
      </c>
      <c r="D304">
        <v>-12.292039000000001</v>
      </c>
      <c r="E304">
        <v>27.538202999999999</v>
      </c>
      <c r="F304" t="s">
        <v>1492</v>
      </c>
      <c r="G304" t="s">
        <v>1491</v>
      </c>
    </row>
    <row r="305" spans="1:7" x14ac:dyDescent="0.3">
      <c r="A305" t="s">
        <v>1604</v>
      </c>
      <c r="B305" t="s">
        <v>1605</v>
      </c>
      <c r="C305" t="s">
        <v>129</v>
      </c>
      <c r="D305">
        <v>-6.0850540000000004</v>
      </c>
      <c r="E305">
        <v>14.020293000000001</v>
      </c>
      <c r="F305" t="s">
        <v>1487</v>
      </c>
      <c r="G305" t="s">
        <v>1491</v>
      </c>
    </row>
    <row r="306" spans="1:7" x14ac:dyDescent="0.3">
      <c r="A306" t="s">
        <v>1604</v>
      </c>
      <c r="B306" t="s">
        <v>1349</v>
      </c>
      <c r="C306" t="s">
        <v>66</v>
      </c>
      <c r="D306">
        <v>-9.5619429999999994</v>
      </c>
      <c r="E306">
        <v>21.445726000000001</v>
      </c>
      <c r="F306" t="s">
        <v>1490</v>
      </c>
      <c r="G306" t="s">
        <v>1500</v>
      </c>
    </row>
    <row r="307" spans="1:7" x14ac:dyDescent="0.3">
      <c r="A307" t="s">
        <v>1604</v>
      </c>
      <c r="B307" t="s">
        <v>1232</v>
      </c>
      <c r="C307" t="s">
        <v>43</v>
      </c>
      <c r="D307">
        <v>-0.47411900000000001</v>
      </c>
      <c r="E307">
        <v>27.184329000000002</v>
      </c>
      <c r="F307" t="s">
        <v>1487</v>
      </c>
      <c r="G307" t="s">
        <v>1493</v>
      </c>
    </row>
    <row r="308" spans="1:7" x14ac:dyDescent="0.3">
      <c r="A308" t="s">
        <v>1604</v>
      </c>
      <c r="B308" t="s">
        <v>850</v>
      </c>
      <c r="C308" t="s">
        <v>36</v>
      </c>
      <c r="D308">
        <v>3.1362930000000002</v>
      </c>
      <c r="E308">
        <v>16.190878000000001</v>
      </c>
      <c r="F308" t="s">
        <v>1492</v>
      </c>
      <c r="G308" t="s">
        <v>1500</v>
      </c>
    </row>
    <row r="309" spans="1:7" x14ac:dyDescent="0.3">
      <c r="A309" t="s">
        <v>1604</v>
      </c>
      <c r="B309" t="s">
        <v>1249</v>
      </c>
      <c r="C309" t="s">
        <v>77</v>
      </c>
      <c r="D309">
        <v>-1.6488929999999999</v>
      </c>
      <c r="E309">
        <v>27.284617000000001</v>
      </c>
      <c r="F309" t="s">
        <v>1487</v>
      </c>
      <c r="G309" t="s">
        <v>1500</v>
      </c>
    </row>
    <row r="310" spans="1:7" x14ac:dyDescent="0.3">
      <c r="A310" t="s">
        <v>1604</v>
      </c>
      <c r="B310" t="s">
        <v>1202</v>
      </c>
      <c r="C310" t="s">
        <v>129</v>
      </c>
      <c r="D310">
        <v>-6.5332999999999997</v>
      </c>
      <c r="E310">
        <v>20.098018</v>
      </c>
      <c r="F310" t="s">
        <v>1490</v>
      </c>
      <c r="G310" t="s">
        <v>1491</v>
      </c>
    </row>
    <row r="311" spans="1:7" x14ac:dyDescent="0.3">
      <c r="A311" t="s">
        <v>1604</v>
      </c>
      <c r="B311" t="s">
        <v>1606</v>
      </c>
      <c r="C311" t="s">
        <v>87</v>
      </c>
      <c r="D311">
        <v>-11.472474999999999</v>
      </c>
      <c r="E311">
        <v>27.418900000000001</v>
      </c>
      <c r="F311" t="s">
        <v>1490</v>
      </c>
      <c r="G311" t="s">
        <v>1493</v>
      </c>
    </row>
    <row r="312" spans="1:7" x14ac:dyDescent="0.3">
      <c r="A312" t="s">
        <v>1604</v>
      </c>
      <c r="B312" t="s">
        <v>926</v>
      </c>
      <c r="C312" t="s">
        <v>63</v>
      </c>
      <c r="D312">
        <v>-1.6097570000000001</v>
      </c>
      <c r="E312">
        <v>30.661662</v>
      </c>
      <c r="F312" t="s">
        <v>1490</v>
      </c>
      <c r="G312" t="s">
        <v>1488</v>
      </c>
    </row>
    <row r="313" spans="1:7" x14ac:dyDescent="0.3">
      <c r="A313" t="s">
        <v>1604</v>
      </c>
      <c r="B313" t="s">
        <v>820</v>
      </c>
      <c r="C313" t="s">
        <v>72</v>
      </c>
      <c r="D313">
        <v>0.23583499999999999</v>
      </c>
      <c r="E313">
        <v>24.889558999999998</v>
      </c>
      <c r="F313" t="s">
        <v>1492</v>
      </c>
      <c r="G313" t="s">
        <v>1493</v>
      </c>
    </row>
    <row r="314" spans="1:7" x14ac:dyDescent="0.3">
      <c r="A314" t="s">
        <v>1604</v>
      </c>
      <c r="B314" t="s">
        <v>985</v>
      </c>
      <c r="C314" t="s">
        <v>36</v>
      </c>
      <c r="D314">
        <v>-10.481026999999999</v>
      </c>
      <c r="E314">
        <v>18.160464000000001</v>
      </c>
      <c r="F314" t="s">
        <v>1487</v>
      </c>
      <c r="G314" t="s">
        <v>1491</v>
      </c>
    </row>
    <row r="315" spans="1:7" x14ac:dyDescent="0.3">
      <c r="A315" t="s">
        <v>1604</v>
      </c>
      <c r="B315" t="s">
        <v>976</v>
      </c>
      <c r="C315" t="s">
        <v>135</v>
      </c>
      <c r="D315">
        <v>-9.5243310000000001</v>
      </c>
      <c r="E315">
        <v>30.541212000000002</v>
      </c>
      <c r="F315" t="s">
        <v>1492</v>
      </c>
      <c r="G315" t="s">
        <v>1488</v>
      </c>
    </row>
    <row r="316" spans="1:7" x14ac:dyDescent="0.3">
      <c r="A316" t="s">
        <v>1604</v>
      </c>
      <c r="B316" t="s">
        <v>877</v>
      </c>
      <c r="C316" t="s">
        <v>25</v>
      </c>
      <c r="D316">
        <v>-4.4697000000000001E-2</v>
      </c>
      <c r="E316">
        <v>22.943373000000001</v>
      </c>
      <c r="F316" t="s">
        <v>1492</v>
      </c>
      <c r="G316" t="s">
        <v>1491</v>
      </c>
    </row>
    <row r="317" spans="1:7" x14ac:dyDescent="0.3">
      <c r="A317" t="s">
        <v>1604</v>
      </c>
      <c r="B317" t="s">
        <v>1426</v>
      </c>
      <c r="C317" t="s">
        <v>25</v>
      </c>
      <c r="D317">
        <v>-2.3269820000000001</v>
      </c>
      <c r="E317">
        <v>14.609259</v>
      </c>
      <c r="F317" t="s">
        <v>1492</v>
      </c>
      <c r="G317" t="s">
        <v>1500</v>
      </c>
    </row>
    <row r="318" spans="1:7" x14ac:dyDescent="0.3">
      <c r="A318" t="s">
        <v>1604</v>
      </c>
      <c r="B318" t="s">
        <v>1607</v>
      </c>
      <c r="C318" t="s">
        <v>9</v>
      </c>
      <c r="D318">
        <v>-4.1938139999999997</v>
      </c>
      <c r="E318">
        <v>27.892115</v>
      </c>
      <c r="F318" t="s">
        <v>1487</v>
      </c>
      <c r="G318" t="s">
        <v>1488</v>
      </c>
    </row>
    <row r="319" spans="1:7" x14ac:dyDescent="0.3">
      <c r="A319" t="s">
        <v>1604</v>
      </c>
      <c r="B319" t="s">
        <v>838</v>
      </c>
      <c r="C319" t="s">
        <v>129</v>
      </c>
      <c r="D319">
        <v>-11.866133</v>
      </c>
      <c r="E319">
        <v>27.068932</v>
      </c>
      <c r="F319" t="s">
        <v>1492</v>
      </c>
      <c r="G319" t="s">
        <v>1491</v>
      </c>
    </row>
    <row r="320" spans="1:7" x14ac:dyDescent="0.3">
      <c r="A320" t="s">
        <v>1604</v>
      </c>
      <c r="B320" t="s">
        <v>1608</v>
      </c>
      <c r="C320" t="s">
        <v>17</v>
      </c>
      <c r="D320">
        <v>-3.2700629999999999</v>
      </c>
      <c r="E320">
        <v>26.520330000000001</v>
      </c>
      <c r="F320" t="s">
        <v>1487</v>
      </c>
      <c r="G320" t="s">
        <v>1500</v>
      </c>
    </row>
    <row r="321" spans="1:7" x14ac:dyDescent="0.3">
      <c r="A321" t="s">
        <v>1604</v>
      </c>
      <c r="B321" t="s">
        <v>884</v>
      </c>
      <c r="C321" t="s">
        <v>135</v>
      </c>
      <c r="D321">
        <v>-7.4608439999999998</v>
      </c>
      <c r="E321">
        <v>23.268619999999999</v>
      </c>
      <c r="F321" t="s">
        <v>1490</v>
      </c>
      <c r="G321" t="s">
        <v>1491</v>
      </c>
    </row>
    <row r="322" spans="1:7" x14ac:dyDescent="0.3">
      <c r="A322" t="s">
        <v>1604</v>
      </c>
      <c r="B322" t="s">
        <v>936</v>
      </c>
      <c r="C322" t="s">
        <v>23</v>
      </c>
      <c r="D322">
        <v>-3.3890790000000002</v>
      </c>
      <c r="E322">
        <v>18.374571</v>
      </c>
      <c r="F322" t="s">
        <v>1487</v>
      </c>
      <c r="G322" t="s">
        <v>1493</v>
      </c>
    </row>
    <row r="323" spans="1:7" x14ac:dyDescent="0.3">
      <c r="A323" t="s">
        <v>1604</v>
      </c>
      <c r="B323" t="s">
        <v>1043</v>
      </c>
      <c r="C323" t="s">
        <v>23</v>
      </c>
      <c r="D323">
        <v>2.016505</v>
      </c>
      <c r="E323">
        <v>14.294164</v>
      </c>
      <c r="F323" t="s">
        <v>1487</v>
      </c>
      <c r="G323" t="s">
        <v>1491</v>
      </c>
    </row>
    <row r="324" spans="1:7" x14ac:dyDescent="0.3">
      <c r="A324" t="s">
        <v>1604</v>
      </c>
      <c r="B324" t="s">
        <v>1609</v>
      </c>
      <c r="C324" t="s">
        <v>39</v>
      </c>
      <c r="D324">
        <v>-4.9124689999999998</v>
      </c>
      <c r="E324">
        <v>14.683498999999999</v>
      </c>
      <c r="F324" t="s">
        <v>1492</v>
      </c>
      <c r="G324" t="s">
        <v>1493</v>
      </c>
    </row>
    <row r="325" spans="1:7" x14ac:dyDescent="0.3">
      <c r="A325" t="s">
        <v>1604</v>
      </c>
      <c r="B325" t="s">
        <v>833</v>
      </c>
      <c r="C325" t="s">
        <v>59</v>
      </c>
      <c r="D325">
        <v>4.9250049999999996</v>
      </c>
      <c r="E325">
        <v>19.887931999999999</v>
      </c>
      <c r="F325" t="s">
        <v>1490</v>
      </c>
      <c r="G325" t="s">
        <v>1491</v>
      </c>
    </row>
    <row r="326" spans="1:7" x14ac:dyDescent="0.3">
      <c r="A326" t="s">
        <v>1604</v>
      </c>
      <c r="B326" t="s">
        <v>919</v>
      </c>
      <c r="C326" t="s">
        <v>56</v>
      </c>
      <c r="D326">
        <v>-12.333232000000001</v>
      </c>
      <c r="E326">
        <v>25.229620000000001</v>
      </c>
      <c r="F326" t="s">
        <v>1487</v>
      </c>
      <c r="G326" t="s">
        <v>1500</v>
      </c>
    </row>
    <row r="327" spans="1:7" x14ac:dyDescent="0.3">
      <c r="A327" t="s">
        <v>1604</v>
      </c>
      <c r="B327" t="s">
        <v>957</v>
      </c>
      <c r="C327" t="s">
        <v>63</v>
      </c>
      <c r="D327">
        <v>-11.991020000000001</v>
      </c>
      <c r="E327">
        <v>22.514747</v>
      </c>
      <c r="F327" t="s">
        <v>1487</v>
      </c>
      <c r="G327" t="s">
        <v>1493</v>
      </c>
    </row>
    <row r="328" spans="1:7" x14ac:dyDescent="0.3">
      <c r="A328" t="s">
        <v>1604</v>
      </c>
      <c r="B328" t="s">
        <v>1610</v>
      </c>
      <c r="C328" t="s">
        <v>129</v>
      </c>
      <c r="D328">
        <v>1.1800139999999999</v>
      </c>
      <c r="E328">
        <v>20.334562999999999</v>
      </c>
      <c r="F328" t="s">
        <v>1492</v>
      </c>
      <c r="G328" t="s">
        <v>1493</v>
      </c>
    </row>
    <row r="329" spans="1:7" x14ac:dyDescent="0.3">
      <c r="A329" t="s">
        <v>1604</v>
      </c>
      <c r="B329" t="s">
        <v>1103</v>
      </c>
      <c r="C329" t="s">
        <v>36</v>
      </c>
      <c r="D329">
        <v>-12.229338</v>
      </c>
      <c r="E329">
        <v>29.587834999999998</v>
      </c>
      <c r="F329" t="s">
        <v>1490</v>
      </c>
      <c r="G329" t="s">
        <v>1500</v>
      </c>
    </row>
    <row r="330" spans="1:7" x14ac:dyDescent="0.3">
      <c r="A330" t="s">
        <v>1604</v>
      </c>
      <c r="B330" t="s">
        <v>970</v>
      </c>
      <c r="C330" t="s">
        <v>135</v>
      </c>
      <c r="D330">
        <v>-10.872631999999999</v>
      </c>
      <c r="E330">
        <v>12.773279</v>
      </c>
      <c r="F330" t="s">
        <v>1492</v>
      </c>
      <c r="G330" t="s">
        <v>1493</v>
      </c>
    </row>
    <row r="331" spans="1:7" x14ac:dyDescent="0.3">
      <c r="A331" t="s">
        <v>1604</v>
      </c>
      <c r="B331" t="s">
        <v>982</v>
      </c>
      <c r="C331" t="s">
        <v>25</v>
      </c>
      <c r="D331">
        <v>1.5278670000000001</v>
      </c>
      <c r="E331">
        <v>13.899388999999999</v>
      </c>
      <c r="F331" t="s">
        <v>1492</v>
      </c>
      <c r="G331" t="s">
        <v>1491</v>
      </c>
    </row>
    <row r="332" spans="1:7" x14ac:dyDescent="0.3">
      <c r="A332" t="s">
        <v>1604</v>
      </c>
      <c r="B332" t="s">
        <v>1121</v>
      </c>
      <c r="C332" t="s">
        <v>50</v>
      </c>
      <c r="D332">
        <v>-0.98830399999999996</v>
      </c>
      <c r="E332">
        <v>28.099966999999999</v>
      </c>
      <c r="F332" t="s">
        <v>1492</v>
      </c>
      <c r="G332" t="s">
        <v>1491</v>
      </c>
    </row>
    <row r="333" spans="1:7" x14ac:dyDescent="0.3">
      <c r="A333" t="s">
        <v>1604</v>
      </c>
      <c r="B333" t="s">
        <v>1611</v>
      </c>
      <c r="C333" t="s">
        <v>87</v>
      </c>
      <c r="D333">
        <v>-4.749333</v>
      </c>
      <c r="E333">
        <v>23.636389000000001</v>
      </c>
      <c r="F333" t="s">
        <v>1492</v>
      </c>
      <c r="G333" t="s">
        <v>1493</v>
      </c>
    </row>
    <row r="334" spans="1:7" x14ac:dyDescent="0.3">
      <c r="A334" t="s">
        <v>1604</v>
      </c>
      <c r="B334" t="s">
        <v>1182</v>
      </c>
      <c r="C334" t="s">
        <v>59</v>
      </c>
      <c r="D334">
        <v>-0.79459900000000006</v>
      </c>
      <c r="E334">
        <v>26.775570999999999</v>
      </c>
      <c r="F334" t="s">
        <v>1487</v>
      </c>
      <c r="G334" t="s">
        <v>1491</v>
      </c>
    </row>
    <row r="335" spans="1:7" x14ac:dyDescent="0.3">
      <c r="A335" t="s">
        <v>1604</v>
      </c>
      <c r="B335" t="s">
        <v>1612</v>
      </c>
      <c r="C335" t="s">
        <v>20</v>
      </c>
      <c r="D335">
        <v>2.7365970000000002</v>
      </c>
      <c r="E335">
        <v>12.296976000000001</v>
      </c>
      <c r="F335" t="s">
        <v>1490</v>
      </c>
      <c r="G335" t="s">
        <v>1493</v>
      </c>
    </row>
    <row r="336" spans="1:7" x14ac:dyDescent="0.3">
      <c r="A336" t="s">
        <v>1604</v>
      </c>
      <c r="B336" t="s">
        <v>1434</v>
      </c>
      <c r="C336" t="s">
        <v>77</v>
      </c>
      <c r="D336">
        <v>-10.318835</v>
      </c>
      <c r="E336">
        <v>21.252382000000001</v>
      </c>
      <c r="F336" t="s">
        <v>1490</v>
      </c>
      <c r="G336" t="s">
        <v>1488</v>
      </c>
    </row>
    <row r="337" spans="1:7" x14ac:dyDescent="0.3">
      <c r="A337" t="s">
        <v>1604</v>
      </c>
      <c r="B337" t="s">
        <v>1075</v>
      </c>
      <c r="C337" t="s">
        <v>12</v>
      </c>
      <c r="D337">
        <v>-2.571777</v>
      </c>
      <c r="E337">
        <v>12.120642</v>
      </c>
      <c r="F337" t="s">
        <v>1492</v>
      </c>
      <c r="G337" t="s">
        <v>1491</v>
      </c>
    </row>
    <row r="338" spans="1:7" x14ac:dyDescent="0.3">
      <c r="A338" t="s">
        <v>1604</v>
      </c>
      <c r="B338" t="s">
        <v>1613</v>
      </c>
      <c r="C338" t="s">
        <v>34</v>
      </c>
      <c r="D338">
        <v>3.6466850000000002</v>
      </c>
      <c r="E338">
        <v>15.408844</v>
      </c>
      <c r="F338" t="s">
        <v>1492</v>
      </c>
      <c r="G338" t="s">
        <v>1493</v>
      </c>
    </row>
    <row r="339" spans="1:7" x14ac:dyDescent="0.3">
      <c r="A339" t="s">
        <v>1604</v>
      </c>
      <c r="B339" t="s">
        <v>960</v>
      </c>
      <c r="C339" t="s">
        <v>129</v>
      </c>
      <c r="D339">
        <v>-12.336202</v>
      </c>
      <c r="E339">
        <v>13.693683999999999</v>
      </c>
      <c r="F339" t="s">
        <v>1487</v>
      </c>
      <c r="G339" t="s">
        <v>1491</v>
      </c>
    </row>
    <row r="340" spans="1:7" x14ac:dyDescent="0.3">
      <c r="A340" t="s">
        <v>1604</v>
      </c>
      <c r="B340" t="s">
        <v>1614</v>
      </c>
      <c r="C340" t="s">
        <v>61</v>
      </c>
      <c r="D340">
        <v>-10.451371</v>
      </c>
      <c r="E340">
        <v>24.38336</v>
      </c>
      <c r="F340" t="s">
        <v>1492</v>
      </c>
      <c r="G340" t="s">
        <v>1488</v>
      </c>
    </row>
    <row r="341" spans="1:7" x14ac:dyDescent="0.3">
      <c r="A341" t="s">
        <v>1604</v>
      </c>
      <c r="B341" t="s">
        <v>1106</v>
      </c>
      <c r="C341" t="s">
        <v>15</v>
      </c>
      <c r="D341">
        <v>-1.231033</v>
      </c>
      <c r="E341">
        <v>28.851388</v>
      </c>
      <c r="F341" t="s">
        <v>1492</v>
      </c>
      <c r="G341" t="s">
        <v>1488</v>
      </c>
    </row>
    <row r="342" spans="1:7" x14ac:dyDescent="0.3">
      <c r="A342" t="s">
        <v>1604</v>
      </c>
      <c r="B342" t="s">
        <v>1615</v>
      </c>
      <c r="C342" t="s">
        <v>15</v>
      </c>
      <c r="D342">
        <v>-4.5180470000000001</v>
      </c>
      <c r="E342">
        <v>19.908223</v>
      </c>
      <c r="F342" t="s">
        <v>1487</v>
      </c>
      <c r="G342" t="s">
        <v>1491</v>
      </c>
    </row>
    <row r="343" spans="1:7" x14ac:dyDescent="0.3">
      <c r="A343" t="s">
        <v>1604</v>
      </c>
      <c r="B343" t="s">
        <v>1616</v>
      </c>
      <c r="C343" t="s">
        <v>39</v>
      </c>
      <c r="D343">
        <v>3.524343</v>
      </c>
      <c r="E343">
        <v>27.340824000000001</v>
      </c>
      <c r="F343" t="s">
        <v>1490</v>
      </c>
      <c r="G343" t="s">
        <v>1488</v>
      </c>
    </row>
    <row r="344" spans="1:7" x14ac:dyDescent="0.3">
      <c r="A344" t="s">
        <v>1604</v>
      </c>
      <c r="B344" t="s">
        <v>1617</v>
      </c>
      <c r="C344" t="s">
        <v>20</v>
      </c>
      <c r="D344">
        <v>-12.17557</v>
      </c>
      <c r="E344">
        <v>26.678691000000001</v>
      </c>
      <c r="F344" t="s">
        <v>1490</v>
      </c>
      <c r="G344" t="s">
        <v>1491</v>
      </c>
    </row>
    <row r="345" spans="1:7" x14ac:dyDescent="0.3">
      <c r="A345" t="s">
        <v>1604</v>
      </c>
      <c r="B345" t="s">
        <v>992</v>
      </c>
      <c r="C345" t="s">
        <v>59</v>
      </c>
      <c r="D345">
        <v>-0.37665700000000002</v>
      </c>
      <c r="E345">
        <v>25.154807999999999</v>
      </c>
      <c r="F345" t="s">
        <v>1492</v>
      </c>
      <c r="G345" t="s">
        <v>1500</v>
      </c>
    </row>
    <row r="346" spans="1:7" x14ac:dyDescent="0.3">
      <c r="A346" t="s">
        <v>1604</v>
      </c>
      <c r="B346" t="s">
        <v>1428</v>
      </c>
      <c r="C346" t="s">
        <v>77</v>
      </c>
      <c r="D346">
        <v>-10.650321</v>
      </c>
      <c r="E346">
        <v>15.917044000000001</v>
      </c>
      <c r="F346" t="s">
        <v>1490</v>
      </c>
      <c r="G346" t="s">
        <v>1500</v>
      </c>
    </row>
    <row r="347" spans="1:7" x14ac:dyDescent="0.3">
      <c r="A347" t="s">
        <v>1604</v>
      </c>
      <c r="B347" t="s">
        <v>1618</v>
      </c>
      <c r="C347" t="s">
        <v>39</v>
      </c>
      <c r="D347">
        <v>-9.8995180000000005</v>
      </c>
      <c r="E347">
        <v>24.156687999999999</v>
      </c>
      <c r="F347" t="s">
        <v>1490</v>
      </c>
      <c r="G347" t="s">
        <v>1488</v>
      </c>
    </row>
    <row r="348" spans="1:7" x14ac:dyDescent="0.3">
      <c r="A348" t="s">
        <v>1604</v>
      </c>
      <c r="B348" t="s">
        <v>911</v>
      </c>
      <c r="C348" t="s">
        <v>125</v>
      </c>
      <c r="D348">
        <v>-12.100756000000001</v>
      </c>
      <c r="E348">
        <v>21.938649999999999</v>
      </c>
      <c r="F348" t="s">
        <v>1490</v>
      </c>
      <c r="G348" t="s">
        <v>1491</v>
      </c>
    </row>
    <row r="349" spans="1:7" x14ac:dyDescent="0.3">
      <c r="A349" t="s">
        <v>1604</v>
      </c>
      <c r="B349" t="s">
        <v>1619</v>
      </c>
      <c r="C349" t="s">
        <v>135</v>
      </c>
      <c r="D349">
        <v>-7.4679279999999997</v>
      </c>
      <c r="E349">
        <v>19.828595</v>
      </c>
      <c r="F349" t="s">
        <v>1487</v>
      </c>
      <c r="G349" t="s">
        <v>1500</v>
      </c>
    </row>
    <row r="350" spans="1:7" x14ac:dyDescent="0.3">
      <c r="A350" t="s">
        <v>1604</v>
      </c>
      <c r="B350" t="s">
        <v>1127</v>
      </c>
      <c r="C350" t="s">
        <v>135</v>
      </c>
      <c r="D350">
        <v>1.286548</v>
      </c>
      <c r="E350">
        <v>29.823702999999998</v>
      </c>
      <c r="F350" t="s">
        <v>1490</v>
      </c>
      <c r="G350" t="s">
        <v>1493</v>
      </c>
    </row>
    <row r="351" spans="1:7" x14ac:dyDescent="0.3">
      <c r="A351" t="s">
        <v>1604</v>
      </c>
      <c r="B351" t="s">
        <v>1070</v>
      </c>
      <c r="C351" t="s">
        <v>34</v>
      </c>
      <c r="D351">
        <v>-4.7886769999999999</v>
      </c>
      <c r="E351">
        <v>23.600221999999999</v>
      </c>
      <c r="F351" t="s">
        <v>1492</v>
      </c>
      <c r="G351" t="s">
        <v>1493</v>
      </c>
    </row>
    <row r="352" spans="1:7" x14ac:dyDescent="0.3">
      <c r="A352" t="s">
        <v>1620</v>
      </c>
      <c r="B352" t="s">
        <v>1401</v>
      </c>
      <c r="C352" t="s">
        <v>56</v>
      </c>
      <c r="D352">
        <v>1.7832440000000001</v>
      </c>
      <c r="E352">
        <v>25.477405999999998</v>
      </c>
      <c r="F352" t="s">
        <v>1487</v>
      </c>
      <c r="G352" t="s">
        <v>1491</v>
      </c>
    </row>
    <row r="353" spans="1:7" x14ac:dyDescent="0.3">
      <c r="A353" t="s">
        <v>1620</v>
      </c>
      <c r="B353" t="s">
        <v>1621</v>
      </c>
      <c r="C353" t="s">
        <v>34</v>
      </c>
      <c r="D353">
        <v>-4.8560549999999996</v>
      </c>
      <c r="E353">
        <v>15.889538999999999</v>
      </c>
      <c r="F353" t="s">
        <v>1492</v>
      </c>
      <c r="G353" t="s">
        <v>1491</v>
      </c>
    </row>
    <row r="354" spans="1:7" x14ac:dyDescent="0.3">
      <c r="A354" t="s">
        <v>1620</v>
      </c>
      <c r="B354" t="s">
        <v>1622</v>
      </c>
      <c r="C354" t="s">
        <v>30</v>
      </c>
      <c r="D354">
        <v>-8.6707929999999998</v>
      </c>
      <c r="E354">
        <v>30.643781000000001</v>
      </c>
      <c r="F354" t="s">
        <v>1490</v>
      </c>
      <c r="G354" t="s">
        <v>1491</v>
      </c>
    </row>
    <row r="355" spans="1:7" x14ac:dyDescent="0.3">
      <c r="A355" t="s">
        <v>1620</v>
      </c>
      <c r="B355" t="s">
        <v>1623</v>
      </c>
      <c r="C355" t="s">
        <v>28</v>
      </c>
      <c r="D355">
        <v>-2.947235</v>
      </c>
      <c r="E355">
        <v>16.534020999999999</v>
      </c>
      <c r="F355" t="s">
        <v>1492</v>
      </c>
      <c r="G355" t="s">
        <v>1500</v>
      </c>
    </row>
    <row r="356" spans="1:7" x14ac:dyDescent="0.3">
      <c r="A356" t="s">
        <v>1620</v>
      </c>
      <c r="B356" t="s">
        <v>1624</v>
      </c>
      <c r="C356" t="s">
        <v>23</v>
      </c>
      <c r="D356">
        <v>-12.776386</v>
      </c>
      <c r="E356">
        <v>14.157596</v>
      </c>
      <c r="F356" t="s">
        <v>1492</v>
      </c>
      <c r="G356" t="s">
        <v>1500</v>
      </c>
    </row>
    <row r="357" spans="1:7" x14ac:dyDescent="0.3">
      <c r="A357" t="s">
        <v>1620</v>
      </c>
      <c r="B357" t="s">
        <v>813</v>
      </c>
      <c r="C357" t="s">
        <v>23</v>
      </c>
      <c r="D357">
        <v>0.172153</v>
      </c>
      <c r="E357">
        <v>21.091376</v>
      </c>
      <c r="F357" t="s">
        <v>1492</v>
      </c>
      <c r="G357" t="s">
        <v>1488</v>
      </c>
    </row>
    <row r="358" spans="1:7" x14ac:dyDescent="0.3">
      <c r="A358" t="s">
        <v>1620</v>
      </c>
      <c r="B358" t="s">
        <v>1364</v>
      </c>
      <c r="C358" t="s">
        <v>15</v>
      </c>
      <c r="D358">
        <v>4.0988100000000003</v>
      </c>
      <c r="E358">
        <v>29.843810999999999</v>
      </c>
      <c r="F358" t="s">
        <v>1492</v>
      </c>
      <c r="G358" t="s">
        <v>1491</v>
      </c>
    </row>
    <row r="359" spans="1:7" x14ac:dyDescent="0.3">
      <c r="A359" t="s">
        <v>1620</v>
      </c>
      <c r="B359" t="s">
        <v>1153</v>
      </c>
      <c r="C359" t="s">
        <v>30</v>
      </c>
      <c r="D359">
        <v>-10.611184</v>
      </c>
      <c r="E359">
        <v>23.022268</v>
      </c>
      <c r="F359" t="s">
        <v>1487</v>
      </c>
      <c r="G359" t="s">
        <v>1493</v>
      </c>
    </row>
    <row r="360" spans="1:7" x14ac:dyDescent="0.3">
      <c r="A360" t="s">
        <v>1620</v>
      </c>
      <c r="B360" t="s">
        <v>1326</v>
      </c>
      <c r="C360" t="s">
        <v>28</v>
      </c>
      <c r="D360">
        <v>-7.6757720000000003</v>
      </c>
      <c r="E360">
        <v>30.222971000000001</v>
      </c>
      <c r="F360" t="s">
        <v>1487</v>
      </c>
      <c r="G360" t="s">
        <v>1488</v>
      </c>
    </row>
    <row r="361" spans="1:7" x14ac:dyDescent="0.3">
      <c r="A361" t="s">
        <v>1620</v>
      </c>
      <c r="B361" t="s">
        <v>939</v>
      </c>
      <c r="C361" t="s">
        <v>87</v>
      </c>
      <c r="D361">
        <v>-1.342476</v>
      </c>
      <c r="E361">
        <v>15.986086</v>
      </c>
      <c r="F361" t="s">
        <v>1490</v>
      </c>
      <c r="G361" t="s">
        <v>1488</v>
      </c>
    </row>
    <row r="362" spans="1:7" x14ac:dyDescent="0.3">
      <c r="A362" t="s">
        <v>1620</v>
      </c>
      <c r="B362" t="s">
        <v>1625</v>
      </c>
      <c r="C362" t="s">
        <v>59</v>
      </c>
      <c r="D362">
        <v>-11.366868999999999</v>
      </c>
      <c r="E362">
        <v>26.155318000000001</v>
      </c>
      <c r="F362" t="s">
        <v>1490</v>
      </c>
      <c r="G362" t="s">
        <v>1491</v>
      </c>
    </row>
    <row r="363" spans="1:7" x14ac:dyDescent="0.3">
      <c r="A363" t="s">
        <v>1620</v>
      </c>
      <c r="B363" t="s">
        <v>1233</v>
      </c>
      <c r="C363" t="s">
        <v>56</v>
      </c>
      <c r="D363">
        <v>-4.3639070000000002</v>
      </c>
      <c r="E363">
        <v>16.283307000000001</v>
      </c>
      <c r="F363" t="s">
        <v>1487</v>
      </c>
      <c r="G363" t="s">
        <v>1491</v>
      </c>
    </row>
    <row r="364" spans="1:7" x14ac:dyDescent="0.3">
      <c r="A364" t="s">
        <v>1620</v>
      </c>
      <c r="B364" t="s">
        <v>1054</v>
      </c>
      <c r="C364" t="s">
        <v>39</v>
      </c>
      <c r="D364">
        <v>-7.5129409999999996</v>
      </c>
      <c r="E364">
        <v>18.701522000000001</v>
      </c>
      <c r="F364" t="s">
        <v>1490</v>
      </c>
      <c r="G364" t="s">
        <v>1500</v>
      </c>
    </row>
    <row r="365" spans="1:7" x14ac:dyDescent="0.3">
      <c r="A365" t="s">
        <v>1620</v>
      </c>
      <c r="B365" t="s">
        <v>1129</v>
      </c>
      <c r="C365" t="s">
        <v>9</v>
      </c>
      <c r="D365">
        <v>-0.34051900000000002</v>
      </c>
      <c r="E365">
        <v>17.079799000000001</v>
      </c>
      <c r="F365" t="s">
        <v>1487</v>
      </c>
      <c r="G365" t="s">
        <v>1488</v>
      </c>
    </row>
    <row r="366" spans="1:7" x14ac:dyDescent="0.3">
      <c r="A366" t="s">
        <v>1620</v>
      </c>
      <c r="B366" t="s">
        <v>1022</v>
      </c>
      <c r="C366" t="s">
        <v>72</v>
      </c>
      <c r="D366">
        <v>2.4425979999999998</v>
      </c>
      <c r="E366">
        <v>24.924308</v>
      </c>
      <c r="F366" t="s">
        <v>1487</v>
      </c>
      <c r="G366" t="s">
        <v>1488</v>
      </c>
    </row>
    <row r="367" spans="1:7" x14ac:dyDescent="0.3">
      <c r="A367" t="s">
        <v>1620</v>
      </c>
      <c r="B367" t="s">
        <v>1315</v>
      </c>
      <c r="C367" t="s">
        <v>25</v>
      </c>
      <c r="D367">
        <v>0.45116099999999998</v>
      </c>
      <c r="E367">
        <v>17.265761000000001</v>
      </c>
      <c r="F367" t="s">
        <v>1490</v>
      </c>
      <c r="G367" t="s">
        <v>1491</v>
      </c>
    </row>
    <row r="368" spans="1:7" x14ac:dyDescent="0.3">
      <c r="A368" t="s">
        <v>1620</v>
      </c>
      <c r="B368" t="s">
        <v>1302</v>
      </c>
      <c r="C368" t="s">
        <v>32</v>
      </c>
      <c r="D368">
        <v>-12.560556999999999</v>
      </c>
      <c r="E368">
        <v>13.204014000000001</v>
      </c>
      <c r="F368" t="s">
        <v>1490</v>
      </c>
      <c r="G368" t="s">
        <v>1488</v>
      </c>
    </row>
    <row r="369" spans="1:7" x14ac:dyDescent="0.3">
      <c r="A369" t="s">
        <v>1620</v>
      </c>
      <c r="B369" t="s">
        <v>1069</v>
      </c>
      <c r="C369" t="s">
        <v>87</v>
      </c>
      <c r="D369">
        <v>-4.8128659999999996</v>
      </c>
      <c r="E369">
        <v>18.559304999999998</v>
      </c>
      <c r="F369" t="s">
        <v>1487</v>
      </c>
      <c r="G369" t="s">
        <v>1493</v>
      </c>
    </row>
    <row r="370" spans="1:7" x14ac:dyDescent="0.3">
      <c r="A370" t="s">
        <v>1620</v>
      </c>
      <c r="B370" t="s">
        <v>1626</v>
      </c>
      <c r="C370" t="s">
        <v>25</v>
      </c>
      <c r="D370">
        <v>0.89302999999999999</v>
      </c>
      <c r="E370">
        <v>21.238310999999999</v>
      </c>
      <c r="F370" t="s">
        <v>1487</v>
      </c>
      <c r="G370" t="s">
        <v>1491</v>
      </c>
    </row>
    <row r="371" spans="1:7" x14ac:dyDescent="0.3">
      <c r="A371" t="s">
        <v>1620</v>
      </c>
      <c r="B371" t="s">
        <v>1627</v>
      </c>
      <c r="C371" t="s">
        <v>125</v>
      </c>
      <c r="D371">
        <v>2.7355830000000001</v>
      </c>
      <c r="E371">
        <v>22.006969000000002</v>
      </c>
      <c r="F371" t="s">
        <v>1487</v>
      </c>
      <c r="G371" t="s">
        <v>1488</v>
      </c>
    </row>
    <row r="372" spans="1:7" x14ac:dyDescent="0.3">
      <c r="A372" t="s">
        <v>1620</v>
      </c>
      <c r="B372" t="s">
        <v>920</v>
      </c>
      <c r="C372" t="s">
        <v>66</v>
      </c>
      <c r="D372">
        <v>-5.7035130000000001</v>
      </c>
      <c r="E372">
        <v>14.331479</v>
      </c>
      <c r="F372" t="s">
        <v>1487</v>
      </c>
      <c r="G372" t="s">
        <v>1500</v>
      </c>
    </row>
    <row r="373" spans="1:7" x14ac:dyDescent="0.3">
      <c r="A373" t="s">
        <v>1620</v>
      </c>
      <c r="B373" t="s">
        <v>1628</v>
      </c>
      <c r="C373" t="s">
        <v>63</v>
      </c>
      <c r="D373">
        <v>1.217457</v>
      </c>
      <c r="E373">
        <v>25.48668</v>
      </c>
      <c r="F373" t="s">
        <v>1487</v>
      </c>
      <c r="G373" t="s">
        <v>1500</v>
      </c>
    </row>
    <row r="374" spans="1:7" x14ac:dyDescent="0.3">
      <c r="A374" t="s">
        <v>1620</v>
      </c>
      <c r="B374" t="s">
        <v>1012</v>
      </c>
      <c r="C374" t="s">
        <v>17</v>
      </c>
      <c r="D374">
        <v>-6.3324319999999998</v>
      </c>
      <c r="E374">
        <v>24.887858000000001</v>
      </c>
      <c r="F374" t="s">
        <v>1490</v>
      </c>
      <c r="G374" t="s">
        <v>1493</v>
      </c>
    </row>
    <row r="375" spans="1:7" x14ac:dyDescent="0.3">
      <c r="A375" t="s">
        <v>1620</v>
      </c>
      <c r="B375" t="s">
        <v>1460</v>
      </c>
      <c r="C375" t="s">
        <v>9</v>
      </c>
      <c r="D375">
        <v>-4.6426759999999998</v>
      </c>
      <c r="E375">
        <v>22.124254000000001</v>
      </c>
      <c r="F375" t="s">
        <v>1490</v>
      </c>
      <c r="G375" t="s">
        <v>1493</v>
      </c>
    </row>
    <row r="376" spans="1:7" x14ac:dyDescent="0.3">
      <c r="A376" t="s">
        <v>1620</v>
      </c>
      <c r="B376" t="s">
        <v>1629</v>
      </c>
      <c r="C376" t="s">
        <v>17</v>
      </c>
      <c r="D376">
        <v>-1.598759</v>
      </c>
      <c r="E376">
        <v>17.553023</v>
      </c>
      <c r="F376" t="s">
        <v>1490</v>
      </c>
      <c r="G376" t="s">
        <v>1491</v>
      </c>
    </row>
    <row r="377" spans="1:7" x14ac:dyDescent="0.3">
      <c r="A377" t="s">
        <v>1620</v>
      </c>
      <c r="B377" t="s">
        <v>1115</v>
      </c>
      <c r="C377" t="s">
        <v>56</v>
      </c>
      <c r="D377">
        <v>2.486888</v>
      </c>
      <c r="E377">
        <v>23.798074</v>
      </c>
      <c r="F377" t="s">
        <v>1487</v>
      </c>
      <c r="G377" t="s">
        <v>1493</v>
      </c>
    </row>
    <row r="378" spans="1:7" x14ac:dyDescent="0.3">
      <c r="A378" t="s">
        <v>1620</v>
      </c>
      <c r="B378" t="s">
        <v>1630</v>
      </c>
      <c r="C378" t="s">
        <v>56</v>
      </c>
      <c r="D378">
        <v>-11.727425</v>
      </c>
      <c r="E378">
        <v>27.198173000000001</v>
      </c>
      <c r="F378" t="s">
        <v>1492</v>
      </c>
      <c r="G378" t="s">
        <v>1488</v>
      </c>
    </row>
    <row r="379" spans="1:7" x14ac:dyDescent="0.3">
      <c r="A379" t="s">
        <v>1620</v>
      </c>
      <c r="B379" t="s">
        <v>1631</v>
      </c>
      <c r="C379" t="s">
        <v>77</v>
      </c>
      <c r="D379">
        <v>3.08182</v>
      </c>
      <c r="E379">
        <v>29.961940999999999</v>
      </c>
      <c r="F379" t="s">
        <v>1490</v>
      </c>
      <c r="G379" t="s">
        <v>1491</v>
      </c>
    </row>
    <row r="380" spans="1:7" x14ac:dyDescent="0.3">
      <c r="A380" t="s">
        <v>1620</v>
      </c>
      <c r="B380" t="s">
        <v>873</v>
      </c>
      <c r="C380" t="s">
        <v>9</v>
      </c>
      <c r="D380">
        <v>-7.0076900000000002</v>
      </c>
      <c r="E380">
        <v>27.367121999999998</v>
      </c>
      <c r="F380" t="s">
        <v>1492</v>
      </c>
      <c r="G380" t="s">
        <v>1500</v>
      </c>
    </row>
    <row r="381" spans="1:7" x14ac:dyDescent="0.3">
      <c r="A381" t="s">
        <v>1620</v>
      </c>
      <c r="B381" t="s">
        <v>1632</v>
      </c>
      <c r="C381" t="s">
        <v>87</v>
      </c>
      <c r="D381">
        <v>-12.411144999999999</v>
      </c>
      <c r="E381">
        <v>29.876642</v>
      </c>
      <c r="F381" t="s">
        <v>1490</v>
      </c>
      <c r="G381" t="s">
        <v>1488</v>
      </c>
    </row>
    <row r="382" spans="1:7" x14ac:dyDescent="0.3">
      <c r="A382" t="s">
        <v>1620</v>
      </c>
      <c r="B382" t="s">
        <v>1633</v>
      </c>
      <c r="C382" t="s">
        <v>56</v>
      </c>
      <c r="D382">
        <v>-5.3337589999999997</v>
      </c>
      <c r="E382">
        <v>13.246924</v>
      </c>
      <c r="F382" t="s">
        <v>1492</v>
      </c>
      <c r="G382" t="s">
        <v>1488</v>
      </c>
    </row>
    <row r="383" spans="1:7" x14ac:dyDescent="0.3">
      <c r="A383" t="s">
        <v>1620</v>
      </c>
      <c r="B383" t="s">
        <v>823</v>
      </c>
      <c r="C383" t="s">
        <v>87</v>
      </c>
      <c r="D383">
        <v>-8.1437910000000002</v>
      </c>
      <c r="E383">
        <v>28.946161</v>
      </c>
      <c r="F383" t="s">
        <v>1490</v>
      </c>
      <c r="G383" t="s">
        <v>1493</v>
      </c>
    </row>
    <row r="384" spans="1:7" x14ac:dyDescent="0.3">
      <c r="A384" t="s">
        <v>1620</v>
      </c>
      <c r="B384" t="s">
        <v>1634</v>
      </c>
      <c r="C384" t="s">
        <v>43</v>
      </c>
      <c r="D384">
        <v>4.0297190000000001</v>
      </c>
      <c r="E384">
        <v>20.699608000000001</v>
      </c>
      <c r="F384" t="s">
        <v>1490</v>
      </c>
      <c r="G384" t="s">
        <v>1488</v>
      </c>
    </row>
    <row r="385" spans="1:7" x14ac:dyDescent="0.3">
      <c r="A385" t="s">
        <v>1620</v>
      </c>
      <c r="B385" t="s">
        <v>1635</v>
      </c>
      <c r="C385" t="s">
        <v>87</v>
      </c>
      <c r="D385">
        <v>-3.2361680000000002</v>
      </c>
      <c r="E385">
        <v>13.523237999999999</v>
      </c>
      <c r="F385" t="s">
        <v>1490</v>
      </c>
      <c r="G385" t="s">
        <v>1491</v>
      </c>
    </row>
    <row r="386" spans="1:7" x14ac:dyDescent="0.3">
      <c r="A386" t="s">
        <v>1620</v>
      </c>
      <c r="B386" t="s">
        <v>1210</v>
      </c>
      <c r="C386" t="s">
        <v>63</v>
      </c>
      <c r="D386">
        <v>1.3006180000000001</v>
      </c>
      <c r="E386">
        <v>29.060970999999999</v>
      </c>
      <c r="F386" t="s">
        <v>1492</v>
      </c>
      <c r="G386" t="s">
        <v>1493</v>
      </c>
    </row>
    <row r="387" spans="1:7" x14ac:dyDescent="0.3">
      <c r="A387" t="s">
        <v>1620</v>
      </c>
      <c r="B387" t="s">
        <v>1636</v>
      </c>
      <c r="C387" t="s">
        <v>9</v>
      </c>
      <c r="D387">
        <v>1.178453</v>
      </c>
      <c r="E387">
        <v>17.479081000000001</v>
      </c>
      <c r="F387" t="s">
        <v>1492</v>
      </c>
      <c r="G387" t="s">
        <v>1488</v>
      </c>
    </row>
    <row r="388" spans="1:7" x14ac:dyDescent="0.3">
      <c r="A388" t="s">
        <v>1620</v>
      </c>
      <c r="B388" t="s">
        <v>1637</v>
      </c>
      <c r="C388" t="s">
        <v>61</v>
      </c>
      <c r="D388">
        <v>-11.542737000000001</v>
      </c>
      <c r="E388">
        <v>30.175912</v>
      </c>
      <c r="F388" t="s">
        <v>1490</v>
      </c>
      <c r="G388" t="s">
        <v>1500</v>
      </c>
    </row>
    <row r="389" spans="1:7" x14ac:dyDescent="0.3">
      <c r="A389" t="s">
        <v>1620</v>
      </c>
      <c r="B389" t="s">
        <v>1385</v>
      </c>
      <c r="C389" t="s">
        <v>61</v>
      </c>
      <c r="D389">
        <v>2.8552499999999998</v>
      </c>
      <c r="E389">
        <v>14.077933</v>
      </c>
      <c r="F389" t="s">
        <v>1490</v>
      </c>
      <c r="G389" t="s">
        <v>1493</v>
      </c>
    </row>
    <row r="390" spans="1:7" x14ac:dyDescent="0.3">
      <c r="A390" t="s">
        <v>1620</v>
      </c>
      <c r="B390" t="s">
        <v>1638</v>
      </c>
      <c r="C390" t="s">
        <v>25</v>
      </c>
      <c r="D390">
        <v>0.24369399999999999</v>
      </c>
      <c r="E390">
        <v>17.242912</v>
      </c>
      <c r="F390" t="s">
        <v>1490</v>
      </c>
      <c r="G390" t="s">
        <v>1500</v>
      </c>
    </row>
    <row r="391" spans="1:7" x14ac:dyDescent="0.3">
      <c r="A391" t="s">
        <v>1620</v>
      </c>
      <c r="B391" t="s">
        <v>1639</v>
      </c>
      <c r="C391" t="s">
        <v>17</v>
      </c>
      <c r="D391">
        <v>-12.013389999999999</v>
      </c>
      <c r="E391">
        <v>25.24456</v>
      </c>
      <c r="F391" t="s">
        <v>1492</v>
      </c>
      <c r="G391" t="s">
        <v>1491</v>
      </c>
    </row>
    <row r="392" spans="1:7" x14ac:dyDescent="0.3">
      <c r="A392" t="s">
        <v>1620</v>
      </c>
      <c r="B392" t="s">
        <v>1023</v>
      </c>
      <c r="C392" t="s">
        <v>135</v>
      </c>
      <c r="D392">
        <v>4.0157999999999996</v>
      </c>
      <c r="E392">
        <v>21.430246</v>
      </c>
      <c r="F392" t="s">
        <v>1487</v>
      </c>
      <c r="G392" t="s">
        <v>1500</v>
      </c>
    </row>
    <row r="393" spans="1:7" x14ac:dyDescent="0.3">
      <c r="A393" t="s">
        <v>1620</v>
      </c>
      <c r="B393" t="s">
        <v>1155</v>
      </c>
      <c r="C393" t="s">
        <v>72</v>
      </c>
      <c r="D393">
        <v>-0.85624699999999998</v>
      </c>
      <c r="E393">
        <v>28.624870000000001</v>
      </c>
      <c r="F393" t="s">
        <v>1492</v>
      </c>
      <c r="G393" t="s">
        <v>1488</v>
      </c>
    </row>
    <row r="394" spans="1:7" x14ac:dyDescent="0.3">
      <c r="A394" t="s">
        <v>1620</v>
      </c>
      <c r="B394" t="s">
        <v>1640</v>
      </c>
      <c r="C394" t="s">
        <v>61</v>
      </c>
      <c r="D394">
        <v>2.9836019999999999</v>
      </c>
      <c r="E394">
        <v>21.893065</v>
      </c>
      <c r="F394" t="s">
        <v>1487</v>
      </c>
      <c r="G394" t="s">
        <v>1500</v>
      </c>
    </row>
    <row r="395" spans="1:7" x14ac:dyDescent="0.3">
      <c r="A395" t="s">
        <v>1620</v>
      </c>
      <c r="B395" t="s">
        <v>1124</v>
      </c>
      <c r="C395" t="s">
        <v>9</v>
      </c>
      <c r="D395">
        <v>-11.002602</v>
      </c>
      <c r="E395">
        <v>23.918247999999998</v>
      </c>
      <c r="F395" t="s">
        <v>1487</v>
      </c>
      <c r="G395" t="s">
        <v>1493</v>
      </c>
    </row>
    <row r="396" spans="1:7" x14ac:dyDescent="0.3">
      <c r="A396" t="s">
        <v>1620</v>
      </c>
      <c r="B396" t="s">
        <v>1641</v>
      </c>
      <c r="C396" t="s">
        <v>72</v>
      </c>
      <c r="D396">
        <v>-6.419365</v>
      </c>
      <c r="E396">
        <v>17.570219000000002</v>
      </c>
      <c r="F396" t="s">
        <v>1490</v>
      </c>
      <c r="G396" t="s">
        <v>1491</v>
      </c>
    </row>
    <row r="397" spans="1:7" x14ac:dyDescent="0.3">
      <c r="A397" t="s">
        <v>1620</v>
      </c>
      <c r="B397" t="s">
        <v>987</v>
      </c>
      <c r="C397" t="s">
        <v>129</v>
      </c>
      <c r="D397">
        <v>-1.8555980000000001</v>
      </c>
      <c r="E397">
        <v>30.421918000000002</v>
      </c>
      <c r="F397" t="s">
        <v>1492</v>
      </c>
      <c r="G397" t="s">
        <v>1493</v>
      </c>
    </row>
    <row r="398" spans="1:7" x14ac:dyDescent="0.3">
      <c r="A398" t="s">
        <v>1620</v>
      </c>
      <c r="B398" t="s">
        <v>1117</v>
      </c>
      <c r="C398" t="s">
        <v>25</v>
      </c>
      <c r="D398">
        <v>-6.4197189999999997</v>
      </c>
      <c r="E398">
        <v>22.287264</v>
      </c>
      <c r="F398" t="s">
        <v>1492</v>
      </c>
      <c r="G398" t="s">
        <v>1488</v>
      </c>
    </row>
    <row r="399" spans="1:7" x14ac:dyDescent="0.3">
      <c r="A399" t="s">
        <v>1620</v>
      </c>
      <c r="B399" t="s">
        <v>1642</v>
      </c>
      <c r="C399" t="s">
        <v>23</v>
      </c>
      <c r="D399">
        <v>-9.8451869999999992</v>
      </c>
      <c r="E399">
        <v>14.508520000000001</v>
      </c>
      <c r="F399" t="s">
        <v>1487</v>
      </c>
      <c r="G399" t="s">
        <v>1500</v>
      </c>
    </row>
    <row r="400" spans="1:7" x14ac:dyDescent="0.3">
      <c r="A400" t="s">
        <v>1620</v>
      </c>
      <c r="B400" t="s">
        <v>855</v>
      </c>
      <c r="C400" t="s">
        <v>23</v>
      </c>
      <c r="D400">
        <v>-2.9417719999999998</v>
      </c>
      <c r="E400">
        <v>18.587305000000001</v>
      </c>
      <c r="F400" t="s">
        <v>1487</v>
      </c>
      <c r="G400" t="s">
        <v>1488</v>
      </c>
    </row>
    <row r="401" spans="1:7" x14ac:dyDescent="0.3">
      <c r="A401" t="s">
        <v>1620</v>
      </c>
      <c r="B401" t="s">
        <v>1203</v>
      </c>
      <c r="C401" t="s">
        <v>36</v>
      </c>
      <c r="D401">
        <v>-11.793894</v>
      </c>
      <c r="E401">
        <v>20.433340999999999</v>
      </c>
      <c r="F401" t="s">
        <v>1487</v>
      </c>
      <c r="G401" t="s">
        <v>1500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EF392-6A19-4B49-AD15-0B9339276F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Churn_part</vt:lpstr>
      <vt:lpstr>TCD</vt:lpstr>
      <vt:lpstr>logs_ reseaux</vt:lpstr>
      <vt:lpstr>Registre maintenance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2026-03-20T14:04:54Z</dcterms:created>
  <dcterms:modified xsi:type="dcterms:W3CDTF">2026-04-06T19:38:31Z</dcterms:modified>
</cp:coreProperties>
</file>